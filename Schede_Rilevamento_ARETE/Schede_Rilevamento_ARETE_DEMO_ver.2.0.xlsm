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fileSharing readOnlyRecommended="1" userName="Michele Rismondo" algorithmName="SHA-512" hashValue="sH57K794oLHIiVKo536oLc0JADx3mvOHiIWZuGZJbAJe4Lae4/OqdfW0UkHbekD60FSoEBnj/qpkhL5bGqd68w==" saltValue="gp8wZ8/nTQtW2x5nz0jVLA==" spinCount="100000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176ed9a793be45/HABITAT/Arborete/Protocollo/Protocollo_4.0/"/>
    </mc:Choice>
  </mc:AlternateContent>
  <xr:revisionPtr revIDLastSave="0" documentId="10_ncr:10000_{47842DC1-83A0-44DB-B623-ADBD9695DD20}" xr6:coauthVersionLast="47" xr6:coauthVersionMax="47" xr10:uidLastSave="{00000000-0000-0000-0000-000000000000}"/>
  <workbookProtection workbookAlgorithmName="SHA-512" workbookHashValue="hHzXbL+vIChIsNznhu75K9Ez2dLnl0H+8u/9abB1yZK2gE4TE7uEixmAnNo+r0BqHm07+U4oS0ATCOiAL02Uyw==" workbookSaltValue="SRgaIKVlx55OaOduajb0+A==" workbookSpinCount="100000" lockStructure="1"/>
  <bookViews>
    <workbookView xWindow="30612" yWindow="-108" windowWidth="30936" windowHeight="16776" activeTab="3" xr2:uid="{5010591F-2BAD-4292-B5C3-27EF0289896C}"/>
  </bookViews>
  <sheets>
    <sheet name="A" sheetId="39" r:id="rId1"/>
    <sheet name="TRG-P" sheetId="44" r:id="rId2"/>
    <sheet name="TRG-S" sheetId="43" r:id="rId3"/>
    <sheet name="ORD" sheetId="19" r:id="rId4"/>
  </sheets>
  <definedNames>
    <definedName name="_xlnm.Print_Area" localSheetId="3">ORD!$B$2:$U$60</definedName>
    <definedName name="_xlnm.Print_Area" localSheetId="1">'TRG-P'!$B$2:$U$30</definedName>
    <definedName name="_xlnm.Print_Area" localSheetId="2">'TRG-S'!$B$2:$U$32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U9" i="19" l="1"/>
  <c r="BA6" i="19"/>
  <c r="AO4" i="44"/>
  <c r="AN4" i="44"/>
  <c r="AO4" i="43"/>
  <c r="AN4" i="43"/>
  <c r="BB6" i="19"/>
  <c r="H14" i="43" l="1"/>
  <c r="H15" i="43"/>
  <c r="H16" i="43"/>
  <c r="H13" i="43"/>
  <c r="H12" i="44"/>
  <c r="H13" i="44"/>
  <c r="H14" i="44"/>
  <c r="H11" i="44"/>
  <c r="AO6" i="44" l="1"/>
  <c r="AN6" i="44"/>
  <c r="AN8" i="44" s="1"/>
  <c r="AN10" i="44" s="1"/>
  <c r="AN12" i="44" s="1"/>
  <c r="AN14" i="44" s="1"/>
  <c r="AN16" i="44" s="1"/>
  <c r="AN18" i="44" s="1"/>
  <c r="G10" i="43"/>
  <c r="AO6" i="43"/>
  <c r="AN6" i="43"/>
  <c r="AN13" i="43" s="1"/>
  <c r="O47" i="19"/>
  <c r="BB77" i="19" s="1"/>
  <c r="H9" i="19"/>
  <c r="J33" i="19" s="1"/>
  <c r="L33" i="19" s="1"/>
  <c r="C47" i="19"/>
  <c r="J47" i="19"/>
  <c r="BD18" i="43"/>
  <c r="BD5" i="43"/>
  <c r="AV49" i="43"/>
  <c r="AU49" i="43"/>
  <c r="AU50" i="43" s="1"/>
  <c r="AU51" i="43" s="1"/>
  <c r="AT49" i="43"/>
  <c r="AS49" i="43"/>
  <c r="AR49" i="43"/>
  <c r="AQ49" i="43"/>
  <c r="AU46" i="43"/>
  <c r="AU47" i="43" s="1"/>
  <c r="AU48" i="43" s="1"/>
  <c r="AT46" i="43"/>
  <c r="AT47" i="43" s="1"/>
  <c r="AT48" i="43" s="1"/>
  <c r="AS46" i="43"/>
  <c r="AS47" i="43" s="1"/>
  <c r="AS48" i="43" s="1"/>
  <c r="AR46" i="43"/>
  <c r="AR47" i="43" s="1"/>
  <c r="AR48" i="43" s="1"/>
  <c r="AQ46" i="43"/>
  <c r="AQ47" i="43" s="1"/>
  <c r="AQ48" i="43" s="1"/>
  <c r="AV45" i="43"/>
  <c r="AV46" i="43" s="1"/>
  <c r="AV47" i="43" s="1"/>
  <c r="AV48" i="43" s="1"/>
  <c r="AV27" i="43"/>
  <c r="AU27" i="43"/>
  <c r="AT27" i="43"/>
  <c r="AS27" i="43"/>
  <c r="AR27" i="43"/>
  <c r="AR28" i="43" s="1"/>
  <c r="AQ27" i="43"/>
  <c r="AQ28" i="43" s="1"/>
  <c r="AQ29" i="43" s="1"/>
  <c r="AV24" i="43"/>
  <c r="AV25" i="43" s="1"/>
  <c r="AV26" i="43" s="1"/>
  <c r="AU24" i="43"/>
  <c r="AU25" i="43" s="1"/>
  <c r="AU26" i="43" s="1"/>
  <c r="AT24" i="43"/>
  <c r="AT25" i="43" s="1"/>
  <c r="AT26" i="43" s="1"/>
  <c r="AS24" i="43"/>
  <c r="AS25" i="43" s="1"/>
  <c r="AS26" i="43" s="1"/>
  <c r="AR24" i="43"/>
  <c r="AR25" i="43" s="1"/>
  <c r="AR26" i="43" s="1"/>
  <c r="AQ24" i="43"/>
  <c r="AQ25" i="43" s="1"/>
  <c r="AQ26" i="43" s="1"/>
  <c r="BD18" i="44"/>
  <c r="BD5" i="44"/>
  <c r="AV49" i="44"/>
  <c r="AU49" i="44"/>
  <c r="AT49" i="44"/>
  <c r="AS49" i="44"/>
  <c r="AR49" i="44"/>
  <c r="AQ49" i="44"/>
  <c r="AU46" i="44"/>
  <c r="AU47" i="44" s="1"/>
  <c r="AU48" i="44" s="1"/>
  <c r="AT46" i="44"/>
  <c r="AS46" i="44"/>
  <c r="AR46" i="44"/>
  <c r="AR47" i="44" s="1"/>
  <c r="AR48" i="44" s="1"/>
  <c r="AQ46" i="44"/>
  <c r="AQ47" i="44" s="1"/>
  <c r="AQ48" i="44" s="1"/>
  <c r="AV45" i="44"/>
  <c r="AV46" i="44" s="1"/>
  <c r="AV47" i="44" s="1"/>
  <c r="AV48" i="44" s="1"/>
  <c r="AV27" i="44"/>
  <c r="AU27" i="44"/>
  <c r="AT27" i="44"/>
  <c r="AS27" i="44"/>
  <c r="AR27" i="44"/>
  <c r="AR28" i="44" s="1"/>
  <c r="AQ27" i="44"/>
  <c r="AV24" i="44"/>
  <c r="AV25" i="44" s="1"/>
  <c r="AV26" i="44" s="1"/>
  <c r="AU24" i="44"/>
  <c r="AU25" i="44" s="1"/>
  <c r="AU26" i="44" s="1"/>
  <c r="AT24" i="44"/>
  <c r="AT25" i="44" s="1"/>
  <c r="AT26" i="44" s="1"/>
  <c r="AS24" i="44"/>
  <c r="AR24" i="44"/>
  <c r="AR25" i="44" s="1"/>
  <c r="AR26" i="44" s="1"/>
  <c r="AQ24" i="44"/>
  <c r="AQ25" i="44" s="1"/>
  <c r="AQ26" i="44" s="1"/>
  <c r="R47" i="19"/>
  <c r="M47" i="19"/>
  <c r="E35" i="19"/>
  <c r="E36" i="19"/>
  <c r="BA77" i="19" l="1"/>
  <c r="BA79" i="19" s="1"/>
  <c r="AR50" i="43"/>
  <c r="AR51" i="43" s="1"/>
  <c r="AT50" i="43"/>
  <c r="AR29" i="44"/>
  <c r="AR31" i="44" s="1"/>
  <c r="AT28" i="43"/>
  <c r="AT29" i="43" s="1"/>
  <c r="AU28" i="43"/>
  <c r="AU29" i="43" s="1"/>
  <c r="AR29" i="43"/>
  <c r="AR30" i="43" s="1"/>
  <c r="AH49" i="43" s="1"/>
  <c r="AS28" i="43"/>
  <c r="AS29" i="43" s="1"/>
  <c r="AZ29" i="43" s="1"/>
  <c r="AV28" i="43"/>
  <c r="AV29" i="43" s="1"/>
  <c r="AV31" i="43" s="1"/>
  <c r="AQ50" i="43"/>
  <c r="AQ51" i="43" s="1"/>
  <c r="AQ52" i="43" s="1"/>
  <c r="AT51" i="43"/>
  <c r="AT53" i="43" s="1"/>
  <c r="AR50" i="44"/>
  <c r="AR51" i="44" s="1"/>
  <c r="AR53" i="44" s="1"/>
  <c r="AV50" i="44"/>
  <c r="AV51" i="44" s="1"/>
  <c r="AQ50" i="44"/>
  <c r="AQ51" i="44" s="1"/>
  <c r="AQ53" i="44" s="1"/>
  <c r="AN17" i="43"/>
  <c r="AN7" i="43"/>
  <c r="AH7" i="43" s="1"/>
  <c r="AN8" i="43"/>
  <c r="AN10" i="43" s="1"/>
  <c r="AN12" i="43" s="1"/>
  <c r="AN14" i="43" s="1"/>
  <c r="AN16" i="43" s="1"/>
  <c r="AN18" i="43" s="1"/>
  <c r="AN9" i="43"/>
  <c r="AO7" i="44"/>
  <c r="AH16" i="44" s="1"/>
  <c r="AO8" i="44"/>
  <c r="AO10" i="44" s="1"/>
  <c r="AO12" i="44" s="1"/>
  <c r="AO14" i="44" s="1"/>
  <c r="AO16" i="44" s="1"/>
  <c r="AO18" i="44" s="1"/>
  <c r="AS50" i="44"/>
  <c r="AT50" i="44"/>
  <c r="AN17" i="44"/>
  <c r="AH13" i="44" s="1"/>
  <c r="AN7" i="44"/>
  <c r="AH7" i="44" s="1"/>
  <c r="AO17" i="43"/>
  <c r="AO7" i="43"/>
  <c r="AH16" i="43" s="1"/>
  <c r="AS50" i="43"/>
  <c r="AS51" i="43" s="1"/>
  <c r="AU53" i="43"/>
  <c r="AN11" i="43"/>
  <c r="AR53" i="43"/>
  <c r="AX29" i="43"/>
  <c r="AV50" i="43"/>
  <c r="AV51" i="43" s="1"/>
  <c r="AO8" i="43"/>
  <c r="AO10" i="43" s="1"/>
  <c r="AO12" i="43" s="1"/>
  <c r="AO14" i="43" s="1"/>
  <c r="AO16" i="43" s="1"/>
  <c r="AO18" i="43" s="1"/>
  <c r="AO9" i="43"/>
  <c r="AO13" i="43"/>
  <c r="AN15" i="43"/>
  <c r="AH11" i="43" s="1"/>
  <c r="AO15" i="43"/>
  <c r="AO11" i="43"/>
  <c r="AS28" i="44"/>
  <c r="AS47" i="44"/>
  <c r="AS48" i="44" s="1"/>
  <c r="AN11" i="44"/>
  <c r="AN13" i="44"/>
  <c r="AT47" i="44"/>
  <c r="AT48" i="44" s="1"/>
  <c r="AO17" i="44"/>
  <c r="AS25" i="44"/>
  <c r="AS26" i="44" s="1"/>
  <c r="AN9" i="44"/>
  <c r="AQ28" i="44"/>
  <c r="AQ29" i="44" s="1"/>
  <c r="AU50" i="44"/>
  <c r="AU51" i="44" s="1"/>
  <c r="AT28" i="44"/>
  <c r="AT29" i="44" s="1"/>
  <c r="AO9" i="44"/>
  <c r="AV28" i="44"/>
  <c r="AV29" i="44" s="1"/>
  <c r="AU28" i="44"/>
  <c r="AU29" i="44" s="1"/>
  <c r="AO13" i="44"/>
  <c r="AN15" i="44"/>
  <c r="AO15" i="44"/>
  <c r="AO11" i="44"/>
  <c r="BQ91" i="19"/>
  <c r="H51" i="19"/>
  <c r="BQ78" i="19"/>
  <c r="BB79" i="19"/>
  <c r="BD29" i="19"/>
  <c r="BA8" i="19"/>
  <c r="BI122" i="19"/>
  <c r="BH122" i="19"/>
  <c r="BG122" i="19"/>
  <c r="BF122" i="19"/>
  <c r="BE122" i="19"/>
  <c r="BD122" i="19"/>
  <c r="BH119" i="19"/>
  <c r="BH120" i="19" s="1"/>
  <c r="BH121" i="19" s="1"/>
  <c r="BG119" i="19"/>
  <c r="BG120" i="19" s="1"/>
  <c r="BG121" i="19" s="1"/>
  <c r="BF119" i="19"/>
  <c r="BF120" i="19" s="1"/>
  <c r="BF121" i="19" s="1"/>
  <c r="BE119" i="19"/>
  <c r="BE120" i="19" s="1"/>
  <c r="BE121" i="19" s="1"/>
  <c r="BD119" i="19"/>
  <c r="BD120" i="19" s="1"/>
  <c r="BD121" i="19" s="1"/>
  <c r="BI118" i="19"/>
  <c r="BI119" i="19" s="1"/>
  <c r="BI120" i="19" s="1"/>
  <c r="BI121" i="19" s="1"/>
  <c r="BI97" i="19"/>
  <c r="BI98" i="19" s="1"/>
  <c r="BI99" i="19" s="1"/>
  <c r="BH97" i="19"/>
  <c r="BH98" i="19" s="1"/>
  <c r="BH99" i="19" s="1"/>
  <c r="BG97" i="19"/>
  <c r="BG98" i="19" s="1"/>
  <c r="BG99" i="19" s="1"/>
  <c r="BF97" i="19"/>
  <c r="BF98" i="19" s="1"/>
  <c r="BF99" i="19" s="1"/>
  <c r="BE97" i="19"/>
  <c r="BD97" i="19"/>
  <c r="BD98" i="19" s="1"/>
  <c r="BD99" i="19" s="1"/>
  <c r="S33" i="19"/>
  <c r="T33" i="19" s="1"/>
  <c r="BQ7" i="19"/>
  <c r="BQ20" i="19"/>
  <c r="S6" i="44"/>
  <c r="S6" i="43"/>
  <c r="S6" i="19"/>
  <c r="AL57" i="43" l="1"/>
  <c r="BD20" i="43" s="1"/>
  <c r="AH8" i="43"/>
  <c r="AH20" i="43"/>
  <c r="AS51" i="44"/>
  <c r="AS53" i="44" s="1"/>
  <c r="AS29" i="44"/>
  <c r="AZ29" i="44" s="1"/>
  <c r="AT51" i="44"/>
  <c r="AT53" i="44" s="1"/>
  <c r="AH17" i="44"/>
  <c r="AH11" i="44"/>
  <c r="AH8" i="44"/>
  <c r="AQ53" i="43"/>
  <c r="AQ55" i="43" s="1"/>
  <c r="AH22" i="43"/>
  <c r="AH9" i="43"/>
  <c r="AH13" i="43"/>
  <c r="AH17" i="43"/>
  <c r="AH22" i="44"/>
  <c r="AH21" i="44"/>
  <c r="AY29" i="44"/>
  <c r="AT52" i="43"/>
  <c r="AL33" i="43" s="1"/>
  <c r="AU52" i="43"/>
  <c r="AL25" i="43" s="1"/>
  <c r="AY29" i="43"/>
  <c r="AH10" i="43"/>
  <c r="AQ30" i="43"/>
  <c r="AV30" i="43"/>
  <c r="AS30" i="43"/>
  <c r="AH41" i="43" s="1"/>
  <c r="AS31" i="43"/>
  <c r="AS32" i="43" s="1"/>
  <c r="AR31" i="43"/>
  <c r="AR33" i="43" s="1"/>
  <c r="AQ31" i="43"/>
  <c r="AQ33" i="43" s="1"/>
  <c r="AH21" i="43"/>
  <c r="AH12" i="43"/>
  <c r="AH19" i="44"/>
  <c r="AH10" i="44"/>
  <c r="AR52" i="43"/>
  <c r="AL49" i="43" s="1"/>
  <c r="AV52" i="43"/>
  <c r="AV53" i="43"/>
  <c r="AS53" i="43"/>
  <c r="AS52" i="43"/>
  <c r="AL41" i="43" s="1"/>
  <c r="AU30" i="43"/>
  <c r="AH25" i="43" s="1"/>
  <c r="AU31" i="43"/>
  <c r="BB29" i="43"/>
  <c r="AT55" i="43"/>
  <c r="AT54" i="43"/>
  <c r="AU54" i="43"/>
  <c r="AU55" i="43"/>
  <c r="AH18" i="43"/>
  <c r="AT31" i="43"/>
  <c r="AT30" i="43"/>
  <c r="AH33" i="43" s="1"/>
  <c r="BA29" i="43"/>
  <c r="AV33" i="43"/>
  <c r="AV32" i="43"/>
  <c r="AR32" i="43"/>
  <c r="AH50" i="43" s="1"/>
  <c r="AY30" i="43"/>
  <c r="AH19" i="43"/>
  <c r="AR55" i="43"/>
  <c r="AR54" i="43"/>
  <c r="AR30" i="44"/>
  <c r="AH49" i="44" s="1"/>
  <c r="AU52" i="44"/>
  <c r="AL25" i="44" s="1"/>
  <c r="AU53" i="44"/>
  <c r="AU54" i="44" s="1"/>
  <c r="AL26" i="44" s="1"/>
  <c r="AX29" i="44"/>
  <c r="AQ31" i="44"/>
  <c r="AQ32" i="44" s="1"/>
  <c r="AQ30" i="44"/>
  <c r="AH57" i="44" s="1"/>
  <c r="AH12" i="44"/>
  <c r="AR52" i="44"/>
  <c r="AL49" i="44" s="1"/>
  <c r="AH9" i="44"/>
  <c r="AQ52" i="44"/>
  <c r="AL57" i="44" s="1"/>
  <c r="BD20" i="44" s="1"/>
  <c r="AV30" i="44"/>
  <c r="AV31" i="44"/>
  <c r="AU30" i="44"/>
  <c r="AH25" i="44" s="1"/>
  <c r="BB29" i="44"/>
  <c r="AU31" i="44"/>
  <c r="AR55" i="44"/>
  <c r="AR54" i="44"/>
  <c r="AL50" i="44" s="1"/>
  <c r="AV52" i="44"/>
  <c r="AV53" i="44"/>
  <c r="AR32" i="44"/>
  <c r="AR33" i="44"/>
  <c r="AY31" i="44"/>
  <c r="BA29" i="44"/>
  <c r="AT31" i="44"/>
  <c r="AT30" i="44"/>
  <c r="AH33" i="44" s="1"/>
  <c r="AH18" i="44"/>
  <c r="AH20" i="44"/>
  <c r="AQ55" i="44"/>
  <c r="AQ54" i="44"/>
  <c r="BH123" i="19"/>
  <c r="BE100" i="19"/>
  <c r="BE101" i="19" s="1"/>
  <c r="BF123" i="19"/>
  <c r="BF124" i="19" s="1"/>
  <c r="BD123" i="19"/>
  <c r="BD124" i="19" s="1"/>
  <c r="BE123" i="19"/>
  <c r="BE124" i="19" s="1"/>
  <c r="BG123" i="19"/>
  <c r="BG124" i="19" s="1"/>
  <c r="BG100" i="19"/>
  <c r="BG101" i="19" s="1"/>
  <c r="BD100" i="19"/>
  <c r="BD101" i="19" s="1"/>
  <c r="BD102" i="19" s="1"/>
  <c r="BI100" i="19"/>
  <c r="BI101" i="19" s="1"/>
  <c r="BI102" i="19" s="1"/>
  <c r="BH100" i="19"/>
  <c r="BH101" i="19" s="1"/>
  <c r="BF100" i="19"/>
  <c r="BF101" i="19" s="1"/>
  <c r="BB81" i="19"/>
  <c r="BB83" i="19" s="1"/>
  <c r="BB85" i="19" s="1"/>
  <c r="BB87" i="19" s="1"/>
  <c r="BB89" i="19" s="1"/>
  <c r="BB91" i="19" s="1"/>
  <c r="BA81" i="19"/>
  <c r="BA83" i="19" s="1"/>
  <c r="BA85" i="19" s="1"/>
  <c r="BA87" i="19" s="1"/>
  <c r="BA89" i="19" s="1"/>
  <c r="BA91" i="19" s="1"/>
  <c r="BI123" i="19"/>
  <c r="BI124" i="19" s="1"/>
  <c r="BE98" i="19"/>
  <c r="BE99" i="19" s="1"/>
  <c r="AH58" i="44" l="1"/>
  <c r="AL50" i="43"/>
  <c r="AS52" i="44"/>
  <c r="AL41" i="44" s="1"/>
  <c r="AL58" i="44"/>
  <c r="BD21" i="44" s="1"/>
  <c r="AH50" i="44"/>
  <c r="AL26" i="43"/>
  <c r="AL34" i="43"/>
  <c r="AY31" i="43"/>
  <c r="AH42" i="43"/>
  <c r="AX30" i="43"/>
  <c r="AH57" i="43"/>
  <c r="BD7" i="43" s="1"/>
  <c r="BH124" i="19"/>
  <c r="BH125" i="19" s="1"/>
  <c r="AY98" i="19" s="1"/>
  <c r="BE102" i="19"/>
  <c r="BL102" i="19" s="1"/>
  <c r="BD7" i="44"/>
  <c r="AT52" i="44"/>
  <c r="AL33" i="44" s="1"/>
  <c r="AQ54" i="43"/>
  <c r="AZ31" i="43"/>
  <c r="AS33" i="43"/>
  <c r="AS34" i="43" s="1"/>
  <c r="AH43" i="43" s="1"/>
  <c r="BF102" i="19"/>
  <c r="BM102" i="19" s="1"/>
  <c r="BG102" i="19"/>
  <c r="BN102" i="19" s="1"/>
  <c r="BH102" i="19"/>
  <c r="BH104" i="19" s="1"/>
  <c r="BH105" i="19" s="1"/>
  <c r="AU55" i="44"/>
  <c r="AU57" i="44" s="1"/>
  <c r="AS31" i="44"/>
  <c r="AS32" i="44" s="1"/>
  <c r="AS30" i="44"/>
  <c r="AZ30" i="43"/>
  <c r="AX31" i="43"/>
  <c r="AQ32" i="43"/>
  <c r="AH58" i="43" s="1"/>
  <c r="AX31" i="44"/>
  <c r="AY30" i="44"/>
  <c r="AU57" i="43"/>
  <c r="AU56" i="43"/>
  <c r="AL27" i="43" s="1"/>
  <c r="AZ32" i="43"/>
  <c r="AU33" i="43"/>
  <c r="BB31" i="43"/>
  <c r="AU32" i="43"/>
  <c r="AH26" i="43" s="1"/>
  <c r="BB30" i="43"/>
  <c r="AR35" i="43"/>
  <c r="AR34" i="43"/>
  <c r="AH51" i="43" s="1"/>
  <c r="AY33" i="43"/>
  <c r="AV34" i="43"/>
  <c r="AV35" i="43"/>
  <c r="AT57" i="43"/>
  <c r="AT56" i="43"/>
  <c r="AL35" i="43" s="1"/>
  <c r="BA30" i="43"/>
  <c r="AT33" i="43"/>
  <c r="BA31" i="43"/>
  <c r="AT32" i="43"/>
  <c r="AH34" i="43" s="1"/>
  <c r="AV54" i="43"/>
  <c r="AV55" i="43"/>
  <c r="AY32" i="43"/>
  <c r="AX33" i="43"/>
  <c r="AQ34" i="43"/>
  <c r="AH59" i="43" s="1"/>
  <c r="AQ35" i="43"/>
  <c r="AS55" i="43"/>
  <c r="AS54" i="43"/>
  <c r="AL42" i="43" s="1"/>
  <c r="AR57" i="43"/>
  <c r="AR56" i="43"/>
  <c r="AL51" i="43" s="1"/>
  <c r="AQ57" i="43"/>
  <c r="AQ56" i="43"/>
  <c r="AQ33" i="44"/>
  <c r="AQ35" i="44" s="1"/>
  <c r="AX30" i="44"/>
  <c r="AR57" i="44"/>
  <c r="AR56" i="44"/>
  <c r="AL51" i="44" s="1"/>
  <c r="BA30" i="44"/>
  <c r="AT55" i="44"/>
  <c r="AT54" i="44"/>
  <c r="AL34" i="44" s="1"/>
  <c r="AS55" i="44"/>
  <c r="AS54" i="44"/>
  <c r="AL42" i="44" s="1"/>
  <c r="AX32" i="44"/>
  <c r="AT33" i="44"/>
  <c r="BA31" i="44"/>
  <c r="AT32" i="44"/>
  <c r="AH34" i="44" s="1"/>
  <c r="AY32" i="44"/>
  <c r="AV54" i="44"/>
  <c r="AV55" i="44"/>
  <c r="AV33" i="44"/>
  <c r="AV32" i="44"/>
  <c r="AR34" i="44"/>
  <c r="AH51" i="44" s="1"/>
  <c r="AR35" i="44"/>
  <c r="AY33" i="44"/>
  <c r="BB31" i="44"/>
  <c r="AU33" i="44"/>
  <c r="AU32" i="44"/>
  <c r="AH26" i="44" s="1"/>
  <c r="AQ57" i="44"/>
  <c r="AQ56" i="44"/>
  <c r="BB30" i="44"/>
  <c r="BE126" i="19"/>
  <c r="BE127" i="19" s="1"/>
  <c r="BE125" i="19"/>
  <c r="AY122" i="19" s="1"/>
  <c r="BD126" i="19"/>
  <c r="BD128" i="19" s="1"/>
  <c r="BD125" i="19"/>
  <c r="AY130" i="19" s="1"/>
  <c r="BF126" i="19"/>
  <c r="BF125" i="19"/>
  <c r="AY114" i="19" s="1"/>
  <c r="BI126" i="19"/>
  <c r="BI125" i="19"/>
  <c r="BI103" i="19"/>
  <c r="BI104" i="19"/>
  <c r="BK102" i="19"/>
  <c r="BD103" i="19"/>
  <c r="AU130" i="19" s="1"/>
  <c r="BD104" i="19"/>
  <c r="BG126" i="19"/>
  <c r="BG125" i="19"/>
  <c r="AY106" i="19" s="1"/>
  <c r="S18" i="44"/>
  <c r="T18" i="44" s="1"/>
  <c r="AB12" i="44"/>
  <c r="AE10" i="44"/>
  <c r="AB10" i="44"/>
  <c r="AE9" i="44"/>
  <c r="AB8" i="44"/>
  <c r="BI9" i="44"/>
  <c r="AB6" i="44"/>
  <c r="AE5" i="44"/>
  <c r="AE4" i="44"/>
  <c r="AB4" i="44"/>
  <c r="AB2" i="44"/>
  <c r="AH42" i="44" l="1"/>
  <c r="BH126" i="19"/>
  <c r="BH128" i="19" s="1"/>
  <c r="AL59" i="44"/>
  <c r="BD22" i="44" s="1"/>
  <c r="AZ30" i="44"/>
  <c r="AH41" i="44"/>
  <c r="AY123" i="19"/>
  <c r="AL59" i="43"/>
  <c r="BD22" i="43" s="1"/>
  <c r="AL58" i="43"/>
  <c r="BD21" i="43" s="1"/>
  <c r="AU56" i="44"/>
  <c r="AL27" i="44" s="1"/>
  <c r="AZ32" i="44"/>
  <c r="AS33" i="44"/>
  <c r="AZ33" i="44" s="1"/>
  <c r="AZ31" i="44"/>
  <c r="AZ33" i="43"/>
  <c r="AS35" i="43"/>
  <c r="AS37" i="43" s="1"/>
  <c r="BD8" i="43"/>
  <c r="BF104" i="19"/>
  <c r="BF106" i="19" s="1"/>
  <c r="BF108" i="19" s="1"/>
  <c r="BO102" i="19"/>
  <c r="BH103" i="19"/>
  <c r="AU98" i="19" s="1"/>
  <c r="BG103" i="19"/>
  <c r="BF103" i="19"/>
  <c r="AU114" i="19" s="1"/>
  <c r="BG104" i="19"/>
  <c r="AX32" i="43"/>
  <c r="BD8" i="44"/>
  <c r="BD127" i="19"/>
  <c r="AY131" i="19" s="1"/>
  <c r="BE128" i="19"/>
  <c r="BE130" i="19" s="1"/>
  <c r="BO104" i="19"/>
  <c r="BH106" i="19"/>
  <c r="BH107" i="19" s="1"/>
  <c r="AU100" i="19" s="1"/>
  <c r="AX33" i="44"/>
  <c r="AQ34" i="44"/>
  <c r="AV36" i="43"/>
  <c r="AV37" i="43"/>
  <c r="AR37" i="43"/>
  <c r="AY35" i="43"/>
  <c r="AR36" i="43"/>
  <c r="AH52" i="43" s="1"/>
  <c r="AZ34" i="43"/>
  <c r="AX34" i="43"/>
  <c r="BB32" i="43"/>
  <c r="AT59" i="43"/>
  <c r="AT58" i="43"/>
  <c r="AL36" i="43" s="1"/>
  <c r="AU34" i="43"/>
  <c r="AH27" i="43" s="1"/>
  <c r="BB33" i="43"/>
  <c r="AU35" i="43"/>
  <c r="AQ37" i="43"/>
  <c r="AX35" i="43"/>
  <c r="AQ36" i="43"/>
  <c r="AH60" i="43" s="1"/>
  <c r="AY34" i="43"/>
  <c r="AT34" i="43"/>
  <c r="AH35" i="43" s="1"/>
  <c r="AT35" i="43"/>
  <c r="BA33" i="43"/>
  <c r="AV57" i="43"/>
  <c r="AV56" i="43"/>
  <c r="BA32" i="43"/>
  <c r="AS57" i="43"/>
  <c r="AS56" i="43"/>
  <c r="AL43" i="43" s="1"/>
  <c r="AQ59" i="43"/>
  <c r="AQ58" i="43"/>
  <c r="AR59" i="43"/>
  <c r="AR58" i="43"/>
  <c r="AL52" i="43" s="1"/>
  <c r="AU59" i="43"/>
  <c r="AU58" i="43"/>
  <c r="AL28" i="43" s="1"/>
  <c r="AS57" i="44"/>
  <c r="AS56" i="44"/>
  <c r="AL43" i="44" s="1"/>
  <c r="AQ37" i="44"/>
  <c r="AX35" i="44"/>
  <c r="AQ36" i="44"/>
  <c r="AH60" i="44" s="1"/>
  <c r="AU59" i="44"/>
  <c r="AU58" i="44"/>
  <c r="AL28" i="44" s="1"/>
  <c r="AY34" i="44"/>
  <c r="AV57" i="44"/>
  <c r="AV56" i="44"/>
  <c r="BA32" i="44"/>
  <c r="AV34" i="44"/>
  <c r="AV35" i="44"/>
  <c r="AU34" i="44"/>
  <c r="AH27" i="44" s="1"/>
  <c r="AU35" i="44"/>
  <c r="BB33" i="44"/>
  <c r="AR37" i="44"/>
  <c r="AY35" i="44"/>
  <c r="AR36" i="44"/>
  <c r="AH52" i="44" s="1"/>
  <c r="AT57" i="44"/>
  <c r="AT56" i="44"/>
  <c r="AL35" i="44" s="1"/>
  <c r="AQ59" i="44"/>
  <c r="AQ58" i="44"/>
  <c r="BB32" i="44"/>
  <c r="AT34" i="44"/>
  <c r="AH35" i="44" s="1"/>
  <c r="AT35" i="44"/>
  <c r="BA33" i="44"/>
  <c r="AR59" i="44"/>
  <c r="AR58" i="44"/>
  <c r="AL52" i="44" s="1"/>
  <c r="BE104" i="19"/>
  <c r="BE105" i="19" s="1"/>
  <c r="BE103" i="19"/>
  <c r="AU122" i="19" s="1"/>
  <c r="BD105" i="19"/>
  <c r="AU131" i="19" s="1"/>
  <c r="BD106" i="19"/>
  <c r="BK104" i="19"/>
  <c r="BF107" i="19"/>
  <c r="BG128" i="19"/>
  <c r="BG127" i="19"/>
  <c r="AY107" i="19" s="1"/>
  <c r="BO105" i="19"/>
  <c r="BI128" i="19"/>
  <c r="BI127" i="19"/>
  <c r="BH130" i="19"/>
  <c r="BH129" i="19"/>
  <c r="BF128" i="19"/>
  <c r="BF127" i="19"/>
  <c r="AY115" i="19" s="1"/>
  <c r="BI106" i="19"/>
  <c r="BI105" i="19"/>
  <c r="BK103" i="19"/>
  <c r="BD130" i="19"/>
  <c r="BD129" i="19"/>
  <c r="AE7" i="44"/>
  <c r="BH127" i="19" l="1"/>
  <c r="AY99" i="19" s="1"/>
  <c r="AL60" i="44"/>
  <c r="BD23" i="44" s="1"/>
  <c r="AX34" i="44"/>
  <c r="AH59" i="44"/>
  <c r="AS36" i="43"/>
  <c r="AH44" i="43" s="1"/>
  <c r="AZ35" i="43"/>
  <c r="BN103" i="19"/>
  <c r="AU106" i="19"/>
  <c r="AY100" i="19"/>
  <c r="AU123" i="19"/>
  <c r="BE129" i="19"/>
  <c r="AY124" i="19" s="1"/>
  <c r="AY132" i="19"/>
  <c r="BM106" i="19"/>
  <c r="AU99" i="19"/>
  <c r="AL60" i="43"/>
  <c r="BD23" i="43" s="1"/>
  <c r="BF105" i="19"/>
  <c r="AS35" i="44"/>
  <c r="AZ35" i="44" s="1"/>
  <c r="AS34" i="44"/>
  <c r="BD9" i="43"/>
  <c r="BM104" i="19"/>
  <c r="BL104" i="19"/>
  <c r="BO103" i="19"/>
  <c r="BG106" i="19"/>
  <c r="BN104" i="19"/>
  <c r="BG105" i="19"/>
  <c r="AU107" i="19" s="1"/>
  <c r="BM103" i="19"/>
  <c r="BD9" i="44"/>
  <c r="BE106" i="19"/>
  <c r="BE107" i="19" s="1"/>
  <c r="AU124" i="19" s="1"/>
  <c r="BL103" i="19"/>
  <c r="BO106" i="19"/>
  <c r="BH108" i="19"/>
  <c r="BH110" i="19" s="1"/>
  <c r="AV59" i="43"/>
  <c r="AV58" i="43"/>
  <c r="AS38" i="43"/>
  <c r="AH45" i="43" s="1"/>
  <c r="AS39" i="43"/>
  <c r="AZ37" i="43"/>
  <c r="AZ36" i="43"/>
  <c r="BA34" i="43"/>
  <c r="BB34" i="43"/>
  <c r="AX36" i="43"/>
  <c r="BD10" i="43"/>
  <c r="AS59" i="43"/>
  <c r="AS58" i="43"/>
  <c r="AL44" i="43" s="1"/>
  <c r="AT61" i="43"/>
  <c r="AT60" i="43"/>
  <c r="AL37" i="43" s="1"/>
  <c r="AU61" i="43"/>
  <c r="AU60" i="43"/>
  <c r="AL29" i="43" s="1"/>
  <c r="AR61" i="43"/>
  <c r="AR60" i="43"/>
  <c r="AL53" i="43" s="1"/>
  <c r="AR38" i="43"/>
  <c r="AH53" i="43" s="1"/>
  <c r="AR39" i="43"/>
  <c r="AY37" i="43"/>
  <c r="AQ61" i="43"/>
  <c r="AQ60" i="43"/>
  <c r="AV39" i="43"/>
  <c r="AV38" i="43"/>
  <c r="BB35" i="43"/>
  <c r="AU36" i="43"/>
  <c r="AH28" i="43" s="1"/>
  <c r="AU37" i="43"/>
  <c r="BA35" i="43"/>
  <c r="AT36" i="43"/>
  <c r="AH36" i="43" s="1"/>
  <c r="AT37" i="43"/>
  <c r="AY36" i="43"/>
  <c r="AQ38" i="43"/>
  <c r="AH61" i="43" s="1"/>
  <c r="AQ39" i="43"/>
  <c r="AX37" i="43"/>
  <c r="AQ61" i="44"/>
  <c r="AQ60" i="44"/>
  <c r="AV59" i="44"/>
  <c r="AV58" i="44"/>
  <c r="AR61" i="44"/>
  <c r="AR60" i="44"/>
  <c r="AL53" i="44" s="1"/>
  <c r="AU61" i="44"/>
  <c r="AU60" i="44"/>
  <c r="AL29" i="44" s="1"/>
  <c r="BA35" i="44"/>
  <c r="AT36" i="44"/>
  <c r="AH36" i="44" s="1"/>
  <c r="AT37" i="44"/>
  <c r="AQ38" i="44"/>
  <c r="AH61" i="44" s="1"/>
  <c r="AQ39" i="44"/>
  <c r="AX37" i="44"/>
  <c r="AR38" i="44"/>
  <c r="AH53" i="44" s="1"/>
  <c r="AR39" i="44"/>
  <c r="AY37" i="44"/>
  <c r="BB34" i="44"/>
  <c r="AV36" i="44"/>
  <c r="AV37" i="44"/>
  <c r="BA34" i="44"/>
  <c r="AT59" i="44"/>
  <c r="AT58" i="44"/>
  <c r="AL36" i="44" s="1"/>
  <c r="AY36" i="44"/>
  <c r="BB35" i="44"/>
  <c r="AU36" i="44"/>
  <c r="AH28" i="44" s="1"/>
  <c r="AU37" i="44"/>
  <c r="AX36" i="44"/>
  <c r="AS59" i="44"/>
  <c r="AS58" i="44"/>
  <c r="AL44" i="44" s="1"/>
  <c r="BO107" i="19"/>
  <c r="BG130" i="19"/>
  <c r="BG129" i="19"/>
  <c r="AY108" i="19" s="1"/>
  <c r="BI107" i="19"/>
  <c r="BI108" i="19"/>
  <c r="BF130" i="19"/>
  <c r="BF129" i="19"/>
  <c r="AY116" i="19" s="1"/>
  <c r="BE132" i="19"/>
  <c r="BE131" i="19"/>
  <c r="BM108" i="19"/>
  <c r="BF109" i="19"/>
  <c r="AU117" i="19" s="1"/>
  <c r="BF110" i="19"/>
  <c r="BL105" i="19"/>
  <c r="BH132" i="19"/>
  <c r="BH131" i="19"/>
  <c r="AY101" i="19" s="1"/>
  <c r="BD132" i="19"/>
  <c r="BD131" i="19"/>
  <c r="AY133" i="19" s="1"/>
  <c r="BM107" i="19"/>
  <c r="BI130" i="19"/>
  <c r="BI129" i="19"/>
  <c r="BD108" i="19"/>
  <c r="BD107" i="19"/>
  <c r="AU132" i="19" s="1"/>
  <c r="BK106" i="19"/>
  <c r="BK105" i="19"/>
  <c r="AL61" i="44" l="1"/>
  <c r="BD24" i="44" s="1"/>
  <c r="AZ34" i="44"/>
  <c r="AH43" i="44"/>
  <c r="AY125" i="19"/>
  <c r="BM105" i="19"/>
  <c r="AU115" i="19"/>
  <c r="AU116" i="19"/>
  <c r="AL61" i="43"/>
  <c r="BD24" i="43" s="1"/>
  <c r="BD10" i="44"/>
  <c r="AS36" i="44"/>
  <c r="AH44" i="44" s="1"/>
  <c r="AS37" i="44"/>
  <c r="AS39" i="44" s="1"/>
  <c r="AZ39" i="44" s="1"/>
  <c r="BN105" i="19"/>
  <c r="BG107" i="19"/>
  <c r="AU108" i="19" s="1"/>
  <c r="BG108" i="19"/>
  <c r="BN106" i="19"/>
  <c r="BL106" i="19"/>
  <c r="BE108" i="19"/>
  <c r="BE109" i="19" s="1"/>
  <c r="AU125" i="19" s="1"/>
  <c r="BH109" i="19"/>
  <c r="AU101" i="19" s="1"/>
  <c r="BO108" i="19"/>
  <c r="AS61" i="43"/>
  <c r="AS60" i="43"/>
  <c r="AL45" i="43" s="1"/>
  <c r="AY38" i="43"/>
  <c r="AT63" i="43"/>
  <c r="AT62" i="43"/>
  <c r="AL38" i="43" s="1"/>
  <c r="BB36" i="43"/>
  <c r="AR63" i="43"/>
  <c r="AR62" i="43"/>
  <c r="AL54" i="43" s="1"/>
  <c r="AU38" i="43"/>
  <c r="AH29" i="43" s="1"/>
  <c r="AU39" i="43"/>
  <c r="BB37" i="43"/>
  <c r="AY39" i="43"/>
  <c r="AR40" i="43"/>
  <c r="AH54" i="43" s="1"/>
  <c r="AR41" i="43"/>
  <c r="AH55" i="43" s="1"/>
  <c r="AV40" i="43"/>
  <c r="AV41" i="43"/>
  <c r="AX39" i="43"/>
  <c r="AQ41" i="43"/>
  <c r="AQ40" i="43"/>
  <c r="AH62" i="43" s="1"/>
  <c r="AS40" i="43"/>
  <c r="AH46" i="43" s="1"/>
  <c r="AS41" i="43"/>
  <c r="AZ39" i="43"/>
  <c r="AZ38" i="43"/>
  <c r="AT38" i="43"/>
  <c r="AH37" i="43" s="1"/>
  <c r="AT39" i="43"/>
  <c r="BA37" i="43"/>
  <c r="AU63" i="43"/>
  <c r="AU62" i="43"/>
  <c r="AL30" i="43" s="1"/>
  <c r="AQ63" i="43"/>
  <c r="AQ62" i="43"/>
  <c r="AX38" i="43"/>
  <c r="BA36" i="43"/>
  <c r="AV61" i="43"/>
  <c r="AV60" i="43"/>
  <c r="AT38" i="44"/>
  <c r="AH37" i="44" s="1"/>
  <c r="AT39" i="44"/>
  <c r="BA37" i="44"/>
  <c r="AT61" i="44"/>
  <c r="AT60" i="44"/>
  <c r="AL37" i="44" s="1"/>
  <c r="AV39" i="44"/>
  <c r="AV38" i="44"/>
  <c r="AU63" i="44"/>
  <c r="AU62" i="44"/>
  <c r="AL30" i="44" s="1"/>
  <c r="AR63" i="44"/>
  <c r="AR62" i="44"/>
  <c r="AL54" i="44" s="1"/>
  <c r="AV61" i="44"/>
  <c r="AV60" i="44"/>
  <c r="AY38" i="44"/>
  <c r="AU38" i="44"/>
  <c r="AH29" i="44" s="1"/>
  <c r="AU39" i="44"/>
  <c r="BB37" i="44"/>
  <c r="AX39" i="44"/>
  <c r="AQ40" i="44"/>
  <c r="AH62" i="44" s="1"/>
  <c r="AQ41" i="44"/>
  <c r="BA36" i="44"/>
  <c r="AS61" i="44"/>
  <c r="AS60" i="44"/>
  <c r="AL45" i="44" s="1"/>
  <c r="AY39" i="44"/>
  <c r="AR40" i="44"/>
  <c r="AH54" i="44" s="1"/>
  <c r="AR41" i="44"/>
  <c r="AH55" i="44" s="1"/>
  <c r="BB36" i="44"/>
  <c r="AX38" i="44"/>
  <c r="AQ63" i="44"/>
  <c r="AL63" i="44" s="1"/>
  <c r="AQ62" i="44"/>
  <c r="BI132" i="19"/>
  <c r="BI131" i="19"/>
  <c r="BI110" i="19"/>
  <c r="BI109" i="19"/>
  <c r="BH111" i="19"/>
  <c r="BH112" i="19"/>
  <c r="BO110" i="19"/>
  <c r="BL107" i="19"/>
  <c r="BM109" i="19"/>
  <c r="BE134" i="19"/>
  <c r="BE133" i="19"/>
  <c r="AY126" i="19" s="1"/>
  <c r="BH134" i="19"/>
  <c r="BH133" i="19"/>
  <c r="AY102" i="19" s="1"/>
  <c r="BG132" i="19"/>
  <c r="BG131" i="19"/>
  <c r="AY109" i="19" s="1"/>
  <c r="BF111" i="19"/>
  <c r="AU118" i="19" s="1"/>
  <c r="BF112" i="19"/>
  <c r="BM110" i="19"/>
  <c r="BF132" i="19"/>
  <c r="BF131" i="19"/>
  <c r="AY117" i="19" s="1"/>
  <c r="BK107" i="19"/>
  <c r="BD134" i="19"/>
  <c r="BD133" i="19"/>
  <c r="AY134" i="19" s="1"/>
  <c r="BD110" i="19"/>
  <c r="BD109" i="19"/>
  <c r="AU133" i="19" s="1"/>
  <c r="BK108" i="19"/>
  <c r="AH63" i="44" l="1"/>
  <c r="AL39" i="43"/>
  <c r="AL62" i="44"/>
  <c r="BD25" i="44" s="1"/>
  <c r="AL55" i="44"/>
  <c r="AL31" i="44"/>
  <c r="AH47" i="43"/>
  <c r="AL63" i="43"/>
  <c r="BD26" i="43" s="1"/>
  <c r="AL31" i="43"/>
  <c r="AH63" i="43"/>
  <c r="AU102" i="19"/>
  <c r="AL55" i="43"/>
  <c r="AL62" i="43"/>
  <c r="BD25" i="43" s="1"/>
  <c r="AS40" i="44"/>
  <c r="AZ36" i="44"/>
  <c r="AS41" i="44"/>
  <c r="AZ37" i="44"/>
  <c r="AS38" i="44"/>
  <c r="BD11" i="43"/>
  <c r="BO109" i="19"/>
  <c r="BE110" i="19"/>
  <c r="BE111" i="19" s="1"/>
  <c r="AU126" i="19" s="1"/>
  <c r="BG110" i="19"/>
  <c r="BN108" i="19"/>
  <c r="BG109" i="19"/>
  <c r="AU109" i="19" s="1"/>
  <c r="BN107" i="19"/>
  <c r="BL108" i="19"/>
  <c r="BD11" i="44"/>
  <c r="AU41" i="43"/>
  <c r="AU40" i="43"/>
  <c r="AH30" i="43" s="1"/>
  <c r="BB39" i="43"/>
  <c r="AY40" i="43"/>
  <c r="AV63" i="43"/>
  <c r="AV62" i="43"/>
  <c r="AX40" i="43"/>
  <c r="BD12" i="43"/>
  <c r="AZ41" i="43"/>
  <c r="AY41" i="43"/>
  <c r="AT40" i="43"/>
  <c r="AH38" i="43" s="1"/>
  <c r="AT41" i="43"/>
  <c r="BA39" i="43"/>
  <c r="BA38" i="43"/>
  <c r="AZ40" i="43"/>
  <c r="AX41" i="43"/>
  <c r="BB38" i="43"/>
  <c r="AS63" i="43"/>
  <c r="AS62" i="43"/>
  <c r="AL46" i="43" s="1"/>
  <c r="AV63" i="44"/>
  <c r="AV62" i="44"/>
  <c r="AS63" i="44"/>
  <c r="AL47" i="44" s="1"/>
  <c r="AS62" i="44"/>
  <c r="AL46" i="44" s="1"/>
  <c r="AX40" i="44"/>
  <c r="AY40" i="44"/>
  <c r="AX41" i="44"/>
  <c r="AV40" i="44"/>
  <c r="AV41" i="44"/>
  <c r="BB38" i="44"/>
  <c r="AT40" i="44"/>
  <c r="AH38" i="44" s="1"/>
  <c r="AT41" i="44"/>
  <c r="AH39" i="44" s="1"/>
  <c r="BA39" i="44"/>
  <c r="BD26" i="44"/>
  <c r="AT63" i="44"/>
  <c r="AL39" i="44" s="1"/>
  <c r="AT62" i="44"/>
  <c r="AL38" i="44" s="1"/>
  <c r="AU40" i="44"/>
  <c r="AH30" i="44" s="1"/>
  <c r="AU41" i="44"/>
  <c r="AH31" i="44" s="1"/>
  <c r="BB39" i="44"/>
  <c r="AY41" i="44"/>
  <c r="BA38" i="44"/>
  <c r="BF134" i="19"/>
  <c r="BF133" i="19"/>
  <c r="AY118" i="19" s="1"/>
  <c r="BG134" i="19"/>
  <c r="BG133" i="19"/>
  <c r="AY110" i="19" s="1"/>
  <c r="BE136" i="19"/>
  <c r="BE135" i="19"/>
  <c r="AY127" i="19" s="1"/>
  <c r="BD111" i="19"/>
  <c r="AU134" i="19" s="1"/>
  <c r="BD112" i="19"/>
  <c r="BK110" i="19"/>
  <c r="BI112" i="19"/>
  <c r="BI111" i="19"/>
  <c r="BL109" i="19"/>
  <c r="BM111" i="19"/>
  <c r="BH136" i="19"/>
  <c r="BH135" i="19"/>
  <c r="AY103" i="19" s="1"/>
  <c r="BO111" i="19"/>
  <c r="BF113" i="19"/>
  <c r="AU119" i="19" s="1"/>
  <c r="BF114" i="19"/>
  <c r="AU120" i="19" s="1"/>
  <c r="BM112" i="19"/>
  <c r="BD136" i="19"/>
  <c r="BD135" i="19"/>
  <c r="AY135" i="19" s="1"/>
  <c r="BH114" i="19"/>
  <c r="BH113" i="19"/>
  <c r="AU103" i="19" s="1"/>
  <c r="BO112" i="19"/>
  <c r="BK109" i="19"/>
  <c r="BI134" i="19"/>
  <c r="BI133" i="19"/>
  <c r="AH39" i="43" l="1"/>
  <c r="R17" i="44"/>
  <c r="AA20" i="44" s="1"/>
  <c r="AB20" i="44" s="1"/>
  <c r="AZ41" i="44"/>
  <c r="AH47" i="44"/>
  <c r="AH46" i="44"/>
  <c r="AZ40" i="44"/>
  <c r="AZ38" i="44"/>
  <c r="AH45" i="44"/>
  <c r="AH31" i="43"/>
  <c r="BE112" i="19"/>
  <c r="BL112" i="19" s="1"/>
  <c r="AY136" i="19"/>
  <c r="AU104" i="19"/>
  <c r="AY128" i="19"/>
  <c r="AY104" i="19"/>
  <c r="AL47" i="43"/>
  <c r="R19" i="43"/>
  <c r="BL110" i="19"/>
  <c r="BD12" i="44"/>
  <c r="BD13" i="43"/>
  <c r="I19" i="43" s="1"/>
  <c r="BN109" i="19"/>
  <c r="BG111" i="19"/>
  <c r="AU110" i="19" s="1"/>
  <c r="BG112" i="19"/>
  <c r="BN110" i="19"/>
  <c r="BD13" i="44"/>
  <c r="I17" i="44" s="1"/>
  <c r="BA41" i="43"/>
  <c r="BA40" i="43"/>
  <c r="BB40" i="43"/>
  <c r="BB41" i="43"/>
  <c r="BB40" i="44"/>
  <c r="BA40" i="44"/>
  <c r="BB41" i="44"/>
  <c r="BA41" i="44"/>
  <c r="BL111" i="19"/>
  <c r="BE114" i="19"/>
  <c r="BK112" i="19"/>
  <c r="BD113" i="19"/>
  <c r="AU135" i="19" s="1"/>
  <c r="BD114" i="19"/>
  <c r="BM114" i="19"/>
  <c r="BM113" i="19"/>
  <c r="BI136" i="19"/>
  <c r="BI135" i="19"/>
  <c r="BI113" i="19"/>
  <c r="BI114" i="19"/>
  <c r="BK111" i="19"/>
  <c r="BG136" i="19"/>
  <c r="BG135" i="19"/>
  <c r="AY111" i="19" s="1"/>
  <c r="BO113" i="19"/>
  <c r="BO114" i="19"/>
  <c r="BF136" i="19"/>
  <c r="BF135" i="19"/>
  <c r="AY119" i="19" s="1"/>
  <c r="BE113" i="19" l="1"/>
  <c r="AU127" i="19" s="1"/>
  <c r="AU136" i="19"/>
  <c r="AU128" i="19"/>
  <c r="AY120" i="19"/>
  <c r="AY112" i="19"/>
  <c r="BN112" i="19"/>
  <c r="BG113" i="19"/>
  <c r="AU111" i="19" s="1"/>
  <c r="BG114" i="19"/>
  <c r="AU112" i="19" s="1"/>
  <c r="BN111" i="19"/>
  <c r="E20" i="44"/>
  <c r="G20" i="44"/>
  <c r="BK114" i="19"/>
  <c r="BK113" i="19"/>
  <c r="BL114" i="19"/>
  <c r="BL113" i="19"/>
  <c r="Z20" i="44" l="1"/>
  <c r="BN114" i="19"/>
  <c r="BN113" i="19"/>
  <c r="AB12" i="43"/>
  <c r="S20" i="43"/>
  <c r="AE10" i="43"/>
  <c r="AB10" i="43"/>
  <c r="AE9" i="43"/>
  <c r="AB8" i="43"/>
  <c r="BI8" i="43"/>
  <c r="AB6" i="43"/>
  <c r="AE5" i="43"/>
  <c r="AE4" i="43"/>
  <c r="AB4" i="43"/>
  <c r="AB2" i="43"/>
  <c r="H34" i="19"/>
  <c r="H53" i="19"/>
  <c r="E37" i="19"/>
  <c r="E38" i="19"/>
  <c r="T20" i="43" l="1"/>
  <c r="AA22" i="43" s="1"/>
  <c r="AB22" i="43" s="1"/>
  <c r="AE7" i="43"/>
  <c r="E22" i="43" l="1"/>
  <c r="G22" i="43"/>
  <c r="Z22" i="43" l="1"/>
  <c r="T47" i="19" l="1"/>
  <c r="S52" i="19" s="1"/>
  <c r="T52" i="19" s="1"/>
  <c r="AR4" i="19" l="1"/>
  <c r="AR10" i="19"/>
  <c r="AR9" i="19"/>
  <c r="AR5" i="19"/>
  <c r="AO12" i="19" l="1"/>
  <c r="AO10" i="19"/>
  <c r="AO8" i="19"/>
  <c r="AO6" i="19"/>
  <c r="AO4" i="19"/>
  <c r="AO2" i="19"/>
  <c r="H28" i="19"/>
  <c r="H27" i="19"/>
  <c r="H26" i="19"/>
  <c r="H29" i="19"/>
  <c r="AR23" i="39" l="1"/>
  <c r="AR21" i="39"/>
  <c r="AR20" i="39"/>
  <c r="AR19" i="39"/>
  <c r="AR18" i="39"/>
  <c r="AR17" i="39"/>
  <c r="AR16" i="39"/>
  <c r="AR15" i="39"/>
  <c r="AR14" i="39"/>
  <c r="AR13" i="39"/>
  <c r="AR12" i="39"/>
  <c r="AR11" i="39"/>
  <c r="AR10" i="39"/>
  <c r="AR9" i="39"/>
  <c r="AR8" i="39"/>
  <c r="AR7" i="39"/>
  <c r="AR6" i="39"/>
  <c r="AR5" i="39"/>
  <c r="AR4" i="39"/>
  <c r="BE29" i="19" l="1"/>
  <c r="BF29" i="19"/>
  <c r="BG29" i="19"/>
  <c r="BH29" i="19"/>
  <c r="BI29" i="19"/>
  <c r="D12" i="19" l="1"/>
  <c r="AR7" i="19" l="1"/>
  <c r="BH48" i="19" l="1"/>
  <c r="BH49" i="19" s="1"/>
  <c r="BH50" i="19" s="1"/>
  <c r="BG48" i="19"/>
  <c r="BF48" i="19"/>
  <c r="BF49" i="19" s="1"/>
  <c r="BF50" i="19" s="1"/>
  <c r="BE48" i="19"/>
  <c r="BE49" i="19" s="1"/>
  <c r="BE50" i="19" s="1"/>
  <c r="BD48" i="19"/>
  <c r="BD49" i="19" s="1"/>
  <c r="BD50" i="19" s="1"/>
  <c r="BI47" i="19"/>
  <c r="BI48" i="19" s="1"/>
  <c r="BI49" i="19" s="1"/>
  <c r="BI50" i="19" s="1"/>
  <c r="BI26" i="19"/>
  <c r="BH26" i="19"/>
  <c r="BH27" i="19" s="1"/>
  <c r="BH28" i="19" s="1"/>
  <c r="BG26" i="19"/>
  <c r="BG27" i="19" s="1"/>
  <c r="BG28" i="19" s="1"/>
  <c r="BF26" i="19"/>
  <c r="BF27" i="19" s="1"/>
  <c r="BF28" i="19" s="1"/>
  <c r="BE26" i="19"/>
  <c r="BE27" i="19" s="1"/>
  <c r="BE28" i="19" s="1"/>
  <c r="BD26" i="19"/>
  <c r="BD27" i="19" s="1"/>
  <c r="BD28" i="19" s="1"/>
  <c r="BG30" i="19" l="1"/>
  <c r="BI30" i="19"/>
  <c r="BD30" i="19"/>
  <c r="BH30" i="19"/>
  <c r="BF30" i="19"/>
  <c r="BG49" i="19"/>
  <c r="BG50" i="19" s="1"/>
  <c r="BE30" i="19"/>
  <c r="BI27" i="19"/>
  <c r="BI28" i="19" s="1"/>
  <c r="BI31" i="19" l="1"/>
  <c r="BE31" i="19"/>
  <c r="BL31" i="19" s="1"/>
  <c r="BF31" i="19"/>
  <c r="BF32" i="19" s="1"/>
  <c r="BH31" i="19"/>
  <c r="BH32" i="19" s="1"/>
  <c r="BD31" i="19"/>
  <c r="BD33" i="19" s="1"/>
  <c r="BK33" i="19" s="1"/>
  <c r="BG31" i="19"/>
  <c r="BN31" i="19" s="1"/>
  <c r="BI33" i="19"/>
  <c r="BE33" i="19"/>
  <c r="BL33" i="19" s="1"/>
  <c r="BE32" i="19"/>
  <c r="BM32" i="19" l="1"/>
  <c r="AU43" i="19"/>
  <c r="BL32" i="19"/>
  <c r="AU51" i="19"/>
  <c r="BO32" i="19"/>
  <c r="AU27" i="19"/>
  <c r="BG33" i="19"/>
  <c r="BN33" i="19" s="1"/>
  <c r="BG32" i="19"/>
  <c r="BH33" i="19"/>
  <c r="BO33" i="19" s="1"/>
  <c r="BD32" i="19"/>
  <c r="BM31" i="19"/>
  <c r="BO31" i="19"/>
  <c r="BK31" i="19"/>
  <c r="BF33" i="19"/>
  <c r="BM33" i="19" s="1"/>
  <c r="BE51" i="19"/>
  <c r="BE52" i="19" s="1"/>
  <c r="BE53" i="19" s="1"/>
  <c r="BI51" i="19"/>
  <c r="BI52" i="19" s="1"/>
  <c r="BI53" i="19" s="1"/>
  <c r="BF51" i="19"/>
  <c r="BF52" i="19" s="1"/>
  <c r="BF53" i="19" s="1"/>
  <c r="BD51" i="19"/>
  <c r="BD52" i="19" s="1"/>
  <c r="BD53" i="19" s="1"/>
  <c r="BG51" i="19"/>
  <c r="BG52" i="19" s="1"/>
  <c r="BH51" i="19"/>
  <c r="BH52" i="19" s="1"/>
  <c r="BH53" i="19" s="1"/>
  <c r="BI32" i="19"/>
  <c r="BG34" i="19"/>
  <c r="BE34" i="19"/>
  <c r="BE35" i="19"/>
  <c r="BL35" i="19" s="1"/>
  <c r="BI34" i="19"/>
  <c r="BI35" i="19"/>
  <c r="BD35" i="19"/>
  <c r="BK35" i="19" s="1"/>
  <c r="BD34" i="19"/>
  <c r="BL34" i="19" l="1"/>
  <c r="AU52" i="19"/>
  <c r="BK32" i="19"/>
  <c r="AU59" i="19"/>
  <c r="BN34" i="19"/>
  <c r="AU36" i="19"/>
  <c r="BN32" i="19"/>
  <c r="AU35" i="19"/>
  <c r="BK34" i="19"/>
  <c r="AU60" i="19"/>
  <c r="BG53" i="19"/>
  <c r="BG55" i="19" s="1"/>
  <c r="BH35" i="19"/>
  <c r="BO35" i="19" s="1"/>
  <c r="BH34" i="19"/>
  <c r="BG35" i="19"/>
  <c r="BN35" i="19" s="1"/>
  <c r="BF35" i="19"/>
  <c r="BM35" i="19" s="1"/>
  <c r="BF34" i="19"/>
  <c r="BD55" i="19"/>
  <c r="BD54" i="19"/>
  <c r="AY59" i="19" s="1"/>
  <c r="BF55" i="19"/>
  <c r="BF54" i="19"/>
  <c r="AY43" i="19" s="1"/>
  <c r="BH54" i="19"/>
  <c r="AY27" i="19" s="1"/>
  <c r="BH55" i="19"/>
  <c r="BI54" i="19"/>
  <c r="BI55" i="19"/>
  <c r="BE54" i="19"/>
  <c r="AY51" i="19" s="1"/>
  <c r="BE55" i="19"/>
  <c r="BE37" i="19"/>
  <c r="BL37" i="19" s="1"/>
  <c r="BE36" i="19"/>
  <c r="BI37" i="19"/>
  <c r="BI36" i="19"/>
  <c r="BD36" i="19"/>
  <c r="BD37" i="19"/>
  <c r="BK37" i="19" s="1"/>
  <c r="BF37" i="19" l="1"/>
  <c r="BM37" i="19" s="1"/>
  <c r="BK36" i="19"/>
  <c r="AU61" i="19"/>
  <c r="BM34" i="19"/>
  <c r="AU44" i="19"/>
  <c r="BL36" i="19"/>
  <c r="AU53" i="19"/>
  <c r="BF36" i="19"/>
  <c r="BO34" i="19"/>
  <c r="AU28" i="19"/>
  <c r="BG36" i="19"/>
  <c r="BG37" i="19"/>
  <c r="BN37" i="19" s="1"/>
  <c r="BG57" i="19"/>
  <c r="BG56" i="19"/>
  <c r="BG54" i="19"/>
  <c r="AY35" i="19" s="1"/>
  <c r="BH37" i="19"/>
  <c r="BO37" i="19" s="1"/>
  <c r="BH36" i="19"/>
  <c r="BF57" i="19"/>
  <c r="BF56" i="19"/>
  <c r="AY44" i="19" s="1"/>
  <c r="BI57" i="19"/>
  <c r="BI56" i="19"/>
  <c r="BE57" i="19"/>
  <c r="BE56" i="19"/>
  <c r="AY52" i="19" s="1"/>
  <c r="BH57" i="19"/>
  <c r="BH56" i="19"/>
  <c r="AY28" i="19" s="1"/>
  <c r="BD56" i="19"/>
  <c r="AY60" i="19" s="1"/>
  <c r="BD57" i="19"/>
  <c r="BF39" i="19"/>
  <c r="BM39" i="19" s="1"/>
  <c r="BF38" i="19"/>
  <c r="BI38" i="19"/>
  <c r="BI39" i="19"/>
  <c r="BD38" i="19"/>
  <c r="BD39" i="19"/>
  <c r="BK39" i="19" s="1"/>
  <c r="BE39" i="19"/>
  <c r="BL39" i="19" s="1"/>
  <c r="BE38" i="19"/>
  <c r="BL38" i="19" l="1"/>
  <c r="AU54" i="19"/>
  <c r="BN36" i="19"/>
  <c r="AU37" i="19"/>
  <c r="BM38" i="19"/>
  <c r="AU46" i="19"/>
  <c r="BG38" i="19"/>
  <c r="BO36" i="19"/>
  <c r="AU29" i="19"/>
  <c r="BK38" i="19"/>
  <c r="AU62" i="19"/>
  <c r="BM36" i="19"/>
  <c r="AU45" i="19"/>
  <c r="AY36" i="19"/>
  <c r="BG39" i="19"/>
  <c r="BN39" i="19" s="1"/>
  <c r="BH39" i="19"/>
  <c r="BO39" i="19" s="1"/>
  <c r="BG58" i="19"/>
  <c r="AY37" i="19" s="1"/>
  <c r="BG59" i="19"/>
  <c r="BH38" i="19"/>
  <c r="BH59" i="19"/>
  <c r="BH58" i="19"/>
  <c r="AY29" i="19" s="1"/>
  <c r="BI59" i="19"/>
  <c r="BI58" i="19"/>
  <c r="BD58" i="19"/>
  <c r="AY61" i="19" s="1"/>
  <c r="BD59" i="19"/>
  <c r="BE59" i="19"/>
  <c r="BE58" i="19"/>
  <c r="AY53" i="19" s="1"/>
  <c r="BF58" i="19"/>
  <c r="AY45" i="19" s="1"/>
  <c r="BF59" i="19"/>
  <c r="BD41" i="19"/>
  <c r="BK41" i="19" s="1"/>
  <c r="BD40" i="19"/>
  <c r="BG41" i="19"/>
  <c r="BN41" i="19" s="1"/>
  <c r="BG40" i="19"/>
  <c r="BE41" i="19"/>
  <c r="BL41" i="19" s="1"/>
  <c r="BE40" i="19"/>
  <c r="BI41" i="19"/>
  <c r="BI40" i="19"/>
  <c r="BF41" i="19"/>
  <c r="BM41" i="19" s="1"/>
  <c r="BF40" i="19"/>
  <c r="BO38" i="19" l="1"/>
  <c r="AU30" i="19"/>
  <c r="BN38" i="19"/>
  <c r="AU38" i="19"/>
  <c r="BN40" i="19"/>
  <c r="AU39" i="19"/>
  <c r="BM40" i="19"/>
  <c r="AU47" i="19"/>
  <c r="BL40" i="19"/>
  <c r="AU55" i="19"/>
  <c r="BK40" i="19"/>
  <c r="AU63" i="19"/>
  <c r="BH41" i="19"/>
  <c r="BO41" i="19" s="1"/>
  <c r="BH40" i="19"/>
  <c r="BG61" i="19"/>
  <c r="BG60" i="19"/>
  <c r="AY38" i="19" s="1"/>
  <c r="BE60" i="19"/>
  <c r="AY54" i="19" s="1"/>
  <c r="BE61" i="19"/>
  <c r="BI61" i="19"/>
  <c r="BI60" i="19"/>
  <c r="BF61" i="19"/>
  <c r="BF60" i="19"/>
  <c r="AY46" i="19" s="1"/>
  <c r="BD61" i="19"/>
  <c r="BD60" i="19"/>
  <c r="AY62" i="19" s="1"/>
  <c r="BH60" i="19"/>
  <c r="AY30" i="19" s="1"/>
  <c r="BH61" i="19"/>
  <c r="BF42" i="19"/>
  <c r="BF43" i="19"/>
  <c r="BI43" i="19"/>
  <c r="BI42" i="19"/>
  <c r="BG43" i="19"/>
  <c r="BG42" i="19"/>
  <c r="BH42" i="19"/>
  <c r="BH43" i="19"/>
  <c r="BE43" i="19"/>
  <c r="BE42" i="19"/>
  <c r="BD43" i="19"/>
  <c r="BD42" i="19"/>
  <c r="BL43" i="19" l="1"/>
  <c r="AU57" i="19"/>
  <c r="BL42" i="19"/>
  <c r="AU56" i="19"/>
  <c r="BM43" i="19"/>
  <c r="AU49" i="19"/>
  <c r="BO43" i="19"/>
  <c r="AU33" i="19"/>
  <c r="BN43" i="19"/>
  <c r="AU41" i="19"/>
  <c r="BM42" i="19"/>
  <c r="AU48" i="19"/>
  <c r="BK42" i="19"/>
  <c r="AU64" i="19"/>
  <c r="BO40" i="19"/>
  <c r="AU31" i="19"/>
  <c r="BO42" i="19"/>
  <c r="AU32" i="19"/>
  <c r="BN42" i="19"/>
  <c r="AU40" i="19"/>
  <c r="BK43" i="19"/>
  <c r="AU65" i="19"/>
  <c r="BG62" i="19"/>
  <c r="AY39" i="19" s="1"/>
  <c r="BG63" i="19"/>
  <c r="BD63" i="19"/>
  <c r="BD62" i="19"/>
  <c r="AY63" i="19" s="1"/>
  <c r="BI63" i="19"/>
  <c r="BI62" i="19"/>
  <c r="BH62" i="19"/>
  <c r="AY31" i="19" s="1"/>
  <c r="BH63" i="19"/>
  <c r="BE62" i="19"/>
  <c r="AY55" i="19" s="1"/>
  <c r="BE63" i="19"/>
  <c r="BF62" i="19"/>
  <c r="AY47" i="19" s="1"/>
  <c r="BF63" i="19"/>
  <c r="BG65" i="19" l="1"/>
  <c r="BG64" i="19"/>
  <c r="AY40" i="19" s="1"/>
  <c r="BE65" i="19"/>
  <c r="BE64" i="19"/>
  <c r="AY56" i="19" s="1"/>
  <c r="BI65" i="19"/>
  <c r="BI64" i="19"/>
  <c r="BF64" i="19"/>
  <c r="AY48" i="19" s="1"/>
  <c r="BF65" i="19"/>
  <c r="AY49" i="19" s="1"/>
  <c r="BH64" i="19"/>
  <c r="AY32" i="19" s="1"/>
  <c r="BH65" i="19"/>
  <c r="AY33" i="19" s="1"/>
  <c r="BD64" i="19"/>
  <c r="AY64" i="19" s="1"/>
  <c r="BD65" i="19"/>
  <c r="AY65" i="19" l="1"/>
  <c r="AY57" i="19"/>
  <c r="AY41" i="19"/>
  <c r="BB8" i="19"/>
  <c r="BA90" i="19" l="1"/>
  <c r="AU86" i="19" s="1"/>
  <c r="BQ86" i="19" s="1"/>
  <c r="BA80" i="19"/>
  <c r="BA84" i="19"/>
  <c r="BA86" i="19"/>
  <c r="BA82" i="19"/>
  <c r="BA88" i="19"/>
  <c r="BB82" i="19"/>
  <c r="BB84" i="19"/>
  <c r="AU91" i="19" s="1"/>
  <c r="BQ95" i="19" s="1"/>
  <c r="BB80" i="19"/>
  <c r="BB90" i="19"/>
  <c r="BB86" i="19"/>
  <c r="BB88" i="19"/>
  <c r="BA10" i="19"/>
  <c r="BA12" i="19" s="1"/>
  <c r="BA19" i="19"/>
  <c r="BA15" i="19"/>
  <c r="BA11" i="19"/>
  <c r="BA17" i="19"/>
  <c r="BA13" i="19"/>
  <c r="BA9" i="19"/>
  <c r="BB10" i="19"/>
  <c r="BB12" i="19" s="1"/>
  <c r="BB19" i="19"/>
  <c r="BB15" i="19"/>
  <c r="BB17" i="19"/>
  <c r="BB13" i="19"/>
  <c r="BB9" i="19"/>
  <c r="AU18" i="19" s="1"/>
  <c r="BB11" i="19"/>
  <c r="AU92" i="19" l="1"/>
  <c r="BQ96" i="19" s="1"/>
  <c r="AU93" i="19"/>
  <c r="BQ97" i="19" s="1"/>
  <c r="AU83" i="19"/>
  <c r="BQ83" i="19" s="1"/>
  <c r="BQ93" i="19"/>
  <c r="AU89" i="19"/>
  <c r="BQ81" i="19"/>
  <c r="AU81" i="19"/>
  <c r="AU82" i="19"/>
  <c r="AU80" i="19"/>
  <c r="BQ80" i="19" s="1"/>
  <c r="AU85" i="19"/>
  <c r="BQ85" i="19" s="1"/>
  <c r="AU84" i="19"/>
  <c r="BQ84" i="19" s="1"/>
  <c r="BQ82" i="19"/>
  <c r="AU94" i="19"/>
  <c r="BQ98" i="19" s="1"/>
  <c r="AU95" i="19"/>
  <c r="BQ99" i="19" s="1"/>
  <c r="AU90" i="19"/>
  <c r="BQ94" i="19" s="1"/>
  <c r="AU14" i="19"/>
  <c r="AU11" i="19"/>
  <c r="AU21" i="19"/>
  <c r="AU22" i="19"/>
  <c r="AU12" i="19"/>
  <c r="AU23" i="19"/>
  <c r="AU13" i="19"/>
  <c r="AU20" i="19"/>
  <c r="AU9" i="19"/>
  <c r="AU19" i="19"/>
  <c r="BB14" i="19"/>
  <c r="BA14" i="19"/>
  <c r="AU10" i="19"/>
  <c r="R51" i="19" l="1"/>
  <c r="BQ22" i="19"/>
  <c r="G51" i="19"/>
  <c r="BA16" i="19"/>
  <c r="BQ9" i="19"/>
  <c r="BB16" i="19"/>
  <c r="BQ23" i="19" l="1"/>
  <c r="BB18" i="19"/>
  <c r="BB20" i="19" s="1"/>
  <c r="AU24" i="19" s="1"/>
  <c r="BA18" i="19"/>
  <c r="BA20" i="19" s="1"/>
  <c r="AU15" i="19" s="1"/>
  <c r="BQ10" i="19" l="1"/>
  <c r="BQ24" i="19"/>
  <c r="BQ11" i="19" l="1"/>
  <c r="BQ25" i="19"/>
  <c r="BQ12" i="19" l="1"/>
  <c r="BQ26" i="19"/>
  <c r="BQ13" i="19" l="1"/>
  <c r="BQ27" i="19"/>
  <c r="BQ14" i="19" l="1"/>
  <c r="BQ28" i="19"/>
  <c r="G32" i="19" s="1"/>
  <c r="E11" i="43"/>
  <c r="BQ15" i="19" l="1"/>
  <c r="R32" i="19" l="1"/>
  <c r="X35" i="19" s="1"/>
  <c r="Y35" i="19" s="1"/>
  <c r="Z35" i="19" s="1"/>
  <c r="H35" i="19" s="1"/>
  <c r="I35" i="19" s="1"/>
  <c r="X51" i="19"/>
  <c r="Y51" i="19" s="1"/>
  <c r="X38" i="19"/>
  <c r="Y38" i="19" s="1"/>
  <c r="X37" i="19"/>
  <c r="Y37" i="19" s="1"/>
  <c r="X36" i="19"/>
  <c r="Y36" i="19" s="1"/>
  <c r="H54" i="19" l="1"/>
  <c r="I54" i="19" s="1"/>
  <c r="Z51" i="19"/>
  <c r="Z38" i="19"/>
  <c r="H38" i="19" s="1"/>
  <c r="I38" i="19" s="1"/>
  <c r="Z37" i="19"/>
  <c r="H37" i="19" s="1"/>
  <c r="I37" i="19" s="1"/>
  <c r="Z36" i="19"/>
  <c r="H36" i="19" s="1"/>
  <c r="I36" i="19" s="1"/>
  <c r="J10" i="43"/>
  <c r="H9" i="43"/>
  <c r="J20" i="43" s="1"/>
  <c r="L20" i="43" s="1"/>
  <c r="AE3" i="43" l="1"/>
  <c r="AE6" i="43" s="1"/>
  <c r="AE8" i="43" s="1"/>
  <c r="AE11" i="43" s="1"/>
  <c r="AE12" i="43" s="1"/>
  <c r="O10" i="43"/>
  <c r="M10" i="43"/>
  <c r="AA24" i="43"/>
  <c r="AB24" i="43" s="1"/>
  <c r="AA23" i="43"/>
  <c r="AB23" i="43" s="1"/>
  <c r="AA25" i="43"/>
  <c r="AB25" i="43" s="1"/>
  <c r="D10" i="43" l="1"/>
  <c r="S10" i="43" s="1"/>
  <c r="E25" i="43"/>
  <c r="Z25" i="43" s="1"/>
  <c r="G25" i="43"/>
  <c r="E23" i="43"/>
  <c r="Z23" i="43" s="1"/>
  <c r="G23" i="43"/>
  <c r="E24" i="43"/>
  <c r="Z24" i="43" s="1"/>
  <c r="G24" i="43"/>
  <c r="H9" i="44"/>
  <c r="H47" i="19"/>
  <c r="G10" i="19"/>
  <c r="AR3" i="19"/>
  <c r="AR6" i="19" s="1"/>
  <c r="AR8" i="19" s="1"/>
  <c r="AR11" i="19" s="1"/>
  <c r="AR12" i="19" s="1"/>
  <c r="AA27" i="43" l="1"/>
  <c r="R22" i="43" s="1"/>
  <c r="AE3" i="44"/>
  <c r="AE6" i="44" s="1"/>
  <c r="AE8" i="44" s="1"/>
  <c r="AE11" i="44" s="1"/>
  <c r="AE12" i="44" s="1"/>
  <c r="J18" i="44"/>
  <c r="L18" i="44" s="1"/>
  <c r="J52" i="19"/>
  <c r="L52" i="19" s="1"/>
  <c r="O10" i="19"/>
  <c r="M10" i="19"/>
  <c r="J10" i="19"/>
  <c r="D10" i="19" l="1"/>
  <c r="S10" i="19" s="1"/>
  <c r="AA23" i="44"/>
  <c r="AB23" i="44" s="1"/>
  <c r="AA22" i="44"/>
  <c r="AB22" i="44" s="1"/>
  <c r="AA21" i="44"/>
  <c r="AB21" i="44" s="1"/>
  <c r="X52" i="19"/>
  <c r="X54" i="19"/>
  <c r="X53" i="19"/>
  <c r="Y54" i="19" l="1"/>
  <c r="H57" i="19" s="1"/>
  <c r="I57" i="19" s="1"/>
  <c r="Y53" i="19"/>
  <c r="H56" i="19" s="1"/>
  <c r="I56" i="19" s="1"/>
  <c r="Y52" i="19"/>
  <c r="H55" i="19" s="1"/>
  <c r="I55" i="19" s="1"/>
  <c r="E23" i="44"/>
  <c r="Z23" i="44" s="1"/>
  <c r="G23" i="44"/>
  <c r="E22" i="44"/>
  <c r="Z22" i="44" s="1"/>
  <c r="G22" i="44"/>
  <c r="E21" i="44"/>
  <c r="Z21" i="44" s="1"/>
  <c r="G21" i="44"/>
  <c r="Z54" i="19" l="1"/>
  <c r="Z53" i="19"/>
  <c r="Z52" i="19"/>
  <c r="AA25" i="44"/>
  <c r="R20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Rismondo</author>
  </authors>
  <commentList>
    <comment ref="B9" authorId="0" shapeId="0" xr:uid="{362001D6-9BA8-4639-96A5-32121A042EFF}">
      <text>
        <r>
          <rPr>
            <sz val="8"/>
            <color indexed="81"/>
            <rFont val="Tahoma"/>
            <family val="2"/>
          </rPr>
          <t>Altezza albero (m)</t>
        </r>
      </text>
    </comment>
    <comment ref="D9" authorId="0" shapeId="0" xr:uid="{4513D122-3CD2-4D32-94A0-D87996DE56CD}">
      <text>
        <r>
          <rPr>
            <sz val="8"/>
            <color indexed="81"/>
            <rFont val="Tahoma"/>
            <family val="2"/>
          </rPr>
          <t>Diametro tronco (cm)</t>
        </r>
      </text>
    </comment>
    <comment ref="G9" authorId="0" shapeId="0" xr:uid="{F915AF6A-370C-4668-B25B-B7AF49EAA63B}">
      <text>
        <r>
          <rPr>
            <sz val="8"/>
            <color indexed="81"/>
            <rFont val="Tahoma"/>
            <family val="2"/>
          </rPr>
          <t>Circonferenza tronco (cm)</t>
        </r>
      </text>
    </comment>
    <comment ref="I9" authorId="0" shapeId="0" xr:uid="{D0F09DEB-A6B5-445B-AFBB-35CFC86FA228}">
      <text>
        <r>
          <rPr>
            <sz val="8"/>
            <color indexed="81"/>
            <rFont val="Tahoma"/>
            <family val="2"/>
          </rPr>
          <t>Diametro chioma (m)</t>
        </r>
      </text>
    </comment>
    <comment ref="L9" authorId="0" shapeId="0" xr:uid="{B30745DB-684E-4D2A-B02C-2B2486775FFE}">
      <text>
        <r>
          <rPr>
            <sz val="8"/>
            <color indexed="81"/>
            <rFont val="Tahoma"/>
            <family val="2"/>
          </rPr>
          <t>Diametro branca pericolosa (cm)</t>
        </r>
      </text>
    </comment>
    <comment ref="N9" authorId="0" shapeId="0" xr:uid="{B7F576FA-9E5B-478B-A38A-1E6FA7270056}">
      <text>
        <r>
          <rPr>
            <sz val="8"/>
            <color indexed="81"/>
            <rFont val="Tahoma"/>
            <family val="2"/>
          </rPr>
          <t>Lunghezza branca pericolosa (m)</t>
        </r>
      </text>
    </comment>
    <comment ref="Q9" authorId="0" shapeId="0" xr:uid="{0373E91E-6D99-4A8C-8FF1-BEF72CEB3701}">
      <text>
        <r>
          <rPr>
            <sz val="8"/>
            <color indexed="81"/>
            <rFont val="Tahoma"/>
            <family val="2"/>
          </rPr>
          <t>Altezza branca pericolosa (m)</t>
        </r>
      </text>
    </comment>
    <comment ref="S9" authorId="0" shapeId="0" xr:uid="{C7108AAC-D345-43F3-B76F-E879508A783F}">
      <text>
        <r>
          <rPr>
            <sz val="8"/>
            <color indexed="81"/>
            <rFont val="Tahoma"/>
            <family val="2"/>
          </rPr>
          <t>Altezza bersaglio (m)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Rismondo</author>
  </authors>
  <commentList>
    <comment ref="B9" authorId="0" shapeId="0" xr:uid="{05225441-EEEF-467F-9AB3-EE7C6EA56672}">
      <text>
        <r>
          <rPr>
            <sz val="8"/>
            <color indexed="81"/>
            <rFont val="Tahoma"/>
            <family val="2"/>
          </rPr>
          <t>Altezza albero (m)</t>
        </r>
      </text>
    </comment>
    <comment ref="D9" authorId="0" shapeId="0" xr:uid="{C15F9541-4892-459E-9310-00AFAF024F15}">
      <text>
        <r>
          <rPr>
            <sz val="8"/>
            <color indexed="81"/>
            <rFont val="Tahoma"/>
            <family val="2"/>
          </rPr>
          <t>Diametro tronco (cm)</t>
        </r>
      </text>
    </comment>
    <comment ref="G9" authorId="0" shapeId="0" xr:uid="{49F68FEA-3A6A-4BEE-912E-83AA1135A08F}">
      <text>
        <r>
          <rPr>
            <sz val="8"/>
            <color indexed="81"/>
            <rFont val="Tahoma"/>
            <family val="2"/>
          </rPr>
          <t>Circonferenza tronco (cm)</t>
        </r>
      </text>
    </comment>
    <comment ref="I9" authorId="0" shapeId="0" xr:uid="{2D8F4121-2875-4525-947C-06AF74132170}">
      <text>
        <r>
          <rPr>
            <sz val="8"/>
            <color indexed="81"/>
            <rFont val="Tahoma"/>
            <family val="2"/>
          </rPr>
          <t>Diametro chioma (m)</t>
        </r>
      </text>
    </comment>
    <comment ref="L9" authorId="0" shapeId="0" xr:uid="{664DC521-1F97-4F4F-8C7F-602FD444CE0F}">
      <text>
        <r>
          <rPr>
            <sz val="8"/>
            <color indexed="81"/>
            <rFont val="Tahoma"/>
            <family val="2"/>
          </rPr>
          <t>Diametro branca pericolosa (cm)</t>
        </r>
      </text>
    </comment>
    <comment ref="N9" authorId="0" shapeId="0" xr:uid="{28A32E6F-14EC-473B-B094-04A71425A7D4}">
      <text>
        <r>
          <rPr>
            <sz val="8"/>
            <color indexed="81"/>
            <rFont val="Tahoma"/>
            <family val="2"/>
          </rPr>
          <t>Lunghezza branca pericolosa (m)</t>
        </r>
      </text>
    </comment>
    <comment ref="Q9" authorId="0" shapeId="0" xr:uid="{3ECBDD5C-6860-4A95-98C7-FEE2EBAA629E}">
      <text>
        <r>
          <rPr>
            <sz val="8"/>
            <color indexed="81"/>
            <rFont val="Tahoma"/>
            <family val="2"/>
          </rPr>
          <t>Altezza branca pericolosa (m)</t>
        </r>
      </text>
    </comment>
    <comment ref="S9" authorId="0" shapeId="0" xr:uid="{25303967-939C-4FA8-8DD0-1AD1CC51B13A}">
      <text>
        <r>
          <rPr>
            <sz val="8"/>
            <color indexed="81"/>
            <rFont val="Tahoma"/>
            <family val="2"/>
          </rPr>
          <t>Altezza bersaglio (m)</t>
        </r>
      </text>
    </comment>
    <comment ref="N10" authorId="0" shapeId="0" xr:uid="{9596E72C-70E3-441F-A3D3-6939C976674C}">
      <text>
        <r>
          <rPr>
            <sz val="9"/>
            <color indexed="81"/>
            <rFont val="Calibri"/>
            <family val="2"/>
            <scheme val="minor"/>
          </rPr>
          <t>Inquinanti atmosferici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Michele Rismondo</author>
    <author>utente</author>
  </authors>
  <commentList>
    <comment ref="B9" authorId="0" shapeId="0" xr:uid="{D4D9E039-681A-4C7E-A6F4-AF7A383966B6}">
      <text>
        <r>
          <rPr>
            <sz val="8"/>
            <color indexed="81"/>
            <rFont val="Tahoma"/>
            <family val="2"/>
          </rPr>
          <t>Altezza albero (m)</t>
        </r>
      </text>
    </comment>
    <comment ref="D9" authorId="0" shapeId="0" xr:uid="{98ACCDB3-1128-43EB-BC2C-D9495DB2CF4E}">
      <text>
        <r>
          <rPr>
            <sz val="8"/>
            <color indexed="81"/>
            <rFont val="Tahoma"/>
            <family val="2"/>
          </rPr>
          <t>Diametro tronco (cm)</t>
        </r>
      </text>
    </comment>
    <comment ref="G9" authorId="0" shapeId="0" xr:uid="{1AB5AEA0-F199-42F4-B3C1-45641978F758}">
      <text>
        <r>
          <rPr>
            <sz val="8"/>
            <color indexed="81"/>
            <rFont val="Tahoma"/>
            <family val="2"/>
          </rPr>
          <t>Circonferenza tronco (cm)</t>
        </r>
      </text>
    </comment>
    <comment ref="I9" authorId="0" shapeId="0" xr:uid="{BBFE079B-3828-426A-8E7B-8AADEF5F8FFE}">
      <text>
        <r>
          <rPr>
            <sz val="8"/>
            <color indexed="81"/>
            <rFont val="Tahoma"/>
            <family val="2"/>
          </rPr>
          <t>Diametro chioma (m)</t>
        </r>
      </text>
    </comment>
    <comment ref="L9" authorId="0" shapeId="0" xr:uid="{170C9545-AC95-46C8-A251-F8604A36292C}">
      <text>
        <r>
          <rPr>
            <sz val="8"/>
            <color indexed="81"/>
            <rFont val="Tahoma"/>
            <family val="2"/>
          </rPr>
          <t>Diametro branca pericolosa (cm)</t>
        </r>
      </text>
    </comment>
    <comment ref="N9" authorId="0" shapeId="0" xr:uid="{D19384AD-51FF-48C0-8E0F-5EB2D68AECCD}">
      <text>
        <r>
          <rPr>
            <sz val="8"/>
            <color indexed="81"/>
            <rFont val="Tahoma"/>
            <family val="2"/>
          </rPr>
          <t>Lunghezza branca pericolosa (m)</t>
        </r>
      </text>
    </comment>
    <comment ref="Q9" authorId="0" shapeId="0" xr:uid="{F5F406A5-01E3-4840-A54A-A03D8D8A5C92}">
      <text>
        <r>
          <rPr>
            <sz val="8"/>
            <color indexed="81"/>
            <rFont val="Tahoma"/>
            <family val="2"/>
          </rPr>
          <t>Altezza branca pericolosa (m)</t>
        </r>
      </text>
    </comment>
    <comment ref="S9" authorId="0" shapeId="0" xr:uid="{A7137A73-55DE-43D1-9F9D-3ED77227E163}">
      <text>
        <r>
          <rPr>
            <sz val="8"/>
            <color indexed="81"/>
            <rFont val="Tahoma"/>
            <family val="2"/>
          </rPr>
          <t>Altezza bersaglio (m)</t>
        </r>
      </text>
    </comment>
    <comment ref="N10" authorId="0" shapeId="0" xr:uid="{D38C8F2D-49DB-4C09-975F-04184DEE153E}">
      <text>
        <r>
          <rPr>
            <sz val="9"/>
            <color indexed="81"/>
            <rFont val="Calibri"/>
            <family val="2"/>
            <scheme val="minor"/>
          </rPr>
          <t>Inquinanti atmosferici</t>
        </r>
      </text>
    </comment>
    <comment ref="B14" authorId="0" shapeId="0" xr:uid="{D98D89C4-55F5-4341-AE6E-38CEAADB3512}">
      <text>
        <r>
          <rPr>
            <b/>
            <sz val="9"/>
            <color indexed="81"/>
            <rFont val="Tahoma"/>
            <family val="2"/>
          </rPr>
          <t xml:space="preserve">difetti/anomalie:
</t>
        </r>
        <r>
          <rPr>
            <sz val="9"/>
            <color indexed="81"/>
            <rFont val="Tahoma"/>
            <family val="2"/>
          </rPr>
          <t>(ps)  = poco significativo
(s) = significativo
(ms) = molto significativo</t>
        </r>
      </text>
    </comment>
    <comment ref="G14" authorId="0" shapeId="0" xr:uid="{822EADDC-6737-4FC5-B932-ED218FD872A0}">
      <text>
        <r>
          <rPr>
            <b/>
            <sz val="9"/>
            <color indexed="81"/>
            <rFont val="Tahoma"/>
            <family val="2"/>
          </rPr>
          <t xml:space="preserve">difetti/anomalie:
</t>
        </r>
        <r>
          <rPr>
            <sz val="9"/>
            <color indexed="81"/>
            <rFont val="Tahoma"/>
            <family val="2"/>
          </rPr>
          <t>(ps)  = poco significativo
(s) = significativo
(ms) = molto significativo</t>
        </r>
      </text>
    </comment>
    <comment ref="L14" authorId="0" shapeId="0" xr:uid="{759CF212-2BD7-499E-A94D-8C6C4FC2DFD9}">
      <text>
        <r>
          <rPr>
            <b/>
            <sz val="9"/>
            <color indexed="81"/>
            <rFont val="Tahoma"/>
            <family val="2"/>
          </rPr>
          <t>difetti/anomalie:</t>
        </r>
        <r>
          <rPr>
            <sz val="9"/>
            <color indexed="81"/>
            <rFont val="Tahoma"/>
            <family val="2"/>
          </rPr>
          <t xml:space="preserve">
(ps)  = poco significativo
(s) = significativo
(ms) = molto significativo</t>
        </r>
      </text>
    </comment>
    <comment ref="Q14" authorId="0" shapeId="0" xr:uid="{64AC3F87-6C8A-4BF1-AF09-BC4F6437AAD5}">
      <text>
        <r>
          <rPr>
            <b/>
            <sz val="9"/>
            <color indexed="81"/>
            <rFont val="Tahoma"/>
            <family val="2"/>
          </rPr>
          <t>difetti/anomalie:</t>
        </r>
        <r>
          <rPr>
            <sz val="9"/>
            <color indexed="81"/>
            <rFont val="Tahoma"/>
            <family val="2"/>
          </rPr>
          <t xml:space="preserve">
(ps)  = poco significativo
(s) = significativo
(ms) = molto significativo
</t>
        </r>
      </text>
    </comment>
    <comment ref="B41" authorId="1" shapeId="0" xr:uid="{2F80676E-D7D6-4272-B7EA-33621AAB9523}">
      <text>
        <r>
          <rPr>
            <b/>
            <sz val="9"/>
            <color indexed="81"/>
            <rFont val="Tahoma"/>
            <family val="2"/>
          </rPr>
          <t>utente:</t>
        </r>
        <r>
          <rPr>
            <sz val="9"/>
            <color indexed="81"/>
            <rFont val="Tahoma"/>
            <family val="2"/>
          </rPr>
          <t xml:space="preserve">
Gli interventi con codice da 1A a 8 sono derivati dallo Standard Europeo di Potatura degli Alberi (EAC 2021)</t>
        </r>
      </text>
    </comment>
    <comment ref="B46" authorId="1" shapeId="0" xr:uid="{4DD7926E-1F35-4BAA-BDD5-BE0F4D52D648}">
      <text>
        <r>
          <rPr>
            <b/>
            <sz val="9"/>
            <color indexed="81"/>
            <rFont val="Tahoma"/>
            <family val="2"/>
          </rPr>
          <t>utente: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Attenzione</t>
        </r>
        <r>
          <rPr>
            <sz val="9"/>
            <color indexed="81"/>
            <rFont val="Tahoma"/>
            <family val="2"/>
          </rPr>
          <t xml:space="preserve">: Una volta modificati i dati sottostanti le celle non verranno più automaticamente compilate con i valori inseriti alla riga 9. </t>
        </r>
      </text>
    </comment>
  </commentList>
</comments>
</file>

<file path=xl/sharedStrings.xml><?xml version="1.0" encoding="utf-8"?>
<sst xmlns="http://schemas.openxmlformats.org/spreadsheetml/2006/main" count="3164" uniqueCount="1704">
  <si>
    <t>a</t>
  </si>
  <si>
    <t>ore</t>
  </si>
  <si>
    <t>H</t>
  </si>
  <si>
    <t>A</t>
  </si>
  <si>
    <t>1:100</t>
  </si>
  <si>
    <t>D</t>
  </si>
  <si>
    <t>secondi</t>
  </si>
  <si>
    <t>minuti</t>
  </si>
  <si>
    <t>giorni</t>
  </si>
  <si>
    <t>a 1:1</t>
  </si>
  <si>
    <t>a 1:10</t>
  </si>
  <si>
    <t>a1:100</t>
  </si>
  <si>
    <t>a 1:1k</t>
  </si>
  <si>
    <t>a 1:10k</t>
  </si>
  <si>
    <t>a 1:100k</t>
  </si>
  <si>
    <t>a 1:1M</t>
  </si>
  <si>
    <t>da 1:5</t>
  </si>
  <si>
    <t>da 1:50</t>
  </si>
  <si>
    <t>da 1:500</t>
  </si>
  <si>
    <t>da 1:5k</t>
  </si>
  <si>
    <t>da 1:50k</t>
  </si>
  <si>
    <t>da 1:500k</t>
  </si>
  <si>
    <t>1:1k</t>
  </si>
  <si>
    <t>1:10k</t>
  </si>
  <si>
    <t>1:1M</t>
  </si>
  <si>
    <t>B</t>
  </si>
  <si>
    <t>ARETE</t>
  </si>
  <si>
    <t>Washingtonia filifera Wendl. - washingtonia</t>
  </si>
  <si>
    <t>Ulmus pumila - olmo siberiano</t>
  </si>
  <si>
    <t>Ulmus minor - olmo campestre</t>
  </si>
  <si>
    <t>Ulmus glabra - olmo montano</t>
  </si>
  <si>
    <t>Trachycarpus fortunei Wendl. - trachycarpus</t>
  </si>
  <si>
    <t>Tilia sp. - tiglio</t>
  </si>
  <si>
    <t>Phoenix dactylifera L. - palma da datteri</t>
  </si>
  <si>
    <t>pedoni/ciclisti</t>
  </si>
  <si>
    <t>occupazione</t>
  </si>
  <si>
    <t>proprietà</t>
  </si>
  <si>
    <t>Malus floribunda - melo da fiore</t>
  </si>
  <si>
    <t>Magnolia stellata - magnolia stellata</t>
  </si>
  <si>
    <t>Magnolia obovata - magnolia giapponese</t>
  </si>
  <si>
    <t>Magnolia grandiflora L. - magnolia</t>
  </si>
  <si>
    <t>Magnolia denudata - magnolia yulan</t>
  </si>
  <si>
    <t>Maclura pomifera Schneider - maclura</t>
  </si>
  <si>
    <t>Liriodendron tulipifera L. - albero dei tulipani</t>
  </si>
  <si>
    <t>Liquidambar styraciflua L. - liquidambar</t>
  </si>
  <si>
    <t>Ligustrum lucidum Ait. - ligustro lucido</t>
  </si>
  <si>
    <t>Laurus nobilis L. - alloro</t>
  </si>
  <si>
    <t>Larix kaempferi (Lamb.) - larice giapponese</t>
  </si>
  <si>
    <t>Larix decidua Miller - larice</t>
  </si>
  <si>
    <t>Koelreuteria paniculata Laxm. - koelreuteria</t>
  </si>
  <si>
    <t>Juniperus virginiana L. - ginepro della Virginia</t>
  </si>
  <si>
    <t>Juniperus oxycedrus L. - ginepro rosso</t>
  </si>
  <si>
    <t>Juniperus communis L. - ginepro comune</t>
  </si>
  <si>
    <t>Juglans regia L. - noce comune</t>
  </si>
  <si>
    <t>Juglans nigra L. - noce nero</t>
  </si>
  <si>
    <t>Ilex aquifoliumL. - agrifoglio</t>
  </si>
  <si>
    <t>Gleditsia triacanthos L. - spino di Giuda</t>
  </si>
  <si>
    <t>Ginkgo biloba L. - ginkgo</t>
  </si>
  <si>
    <t>Fraxinus oxycarpa - frassino meridionale</t>
  </si>
  <si>
    <t>Fraxinus ornus L. - orniello</t>
  </si>
  <si>
    <t>Fraxinus excelsior L. - frassino maggiore</t>
  </si>
  <si>
    <t>Ficus carica L. - fico</t>
  </si>
  <si>
    <t>Fagus sylvatica L. - faggio</t>
  </si>
  <si>
    <t>Diospyros kaki L. - diospero</t>
  </si>
  <si>
    <t>Cydonia oblonga - cotogno</t>
  </si>
  <si>
    <t>Cryptomeria japonica Don - criptomeria</t>
  </si>
  <si>
    <t>Corylus avellana L. - nocciolo</t>
  </si>
  <si>
    <t>Citrus sinensis Pers. - arancio</t>
  </si>
  <si>
    <t>Chamaerops humilis L. - palma nana</t>
  </si>
  <si>
    <t>Cercis siliquastrum L. - albero di giuda</t>
  </si>
  <si>
    <t>Ceratonia siliqua L. - carrubo</t>
  </si>
  <si>
    <t>Celtis australis L. - bagolaro</t>
  </si>
  <si>
    <t>Cedrus libani Richard - cedro del Libano</t>
  </si>
  <si>
    <t>Cedrus deodara G.Don - cedro dell'Himalaia</t>
  </si>
  <si>
    <t>costruzione parafulmine</t>
  </si>
  <si>
    <t>Catalpa bignonioides Walt. - catalpa</t>
  </si>
  <si>
    <t>ALTEZZA</t>
  </si>
  <si>
    <t>protezione dell'albero</t>
  </si>
  <si>
    <t>Castanea sativa Miller - castagno</t>
  </si>
  <si>
    <t>riordino del sito di radicazione</t>
  </si>
  <si>
    <t>Carya ovata  (Mill.) - noce bianco</t>
  </si>
  <si>
    <t>mulching</t>
  </si>
  <si>
    <t>Carpinus betulus L. - carpino bianco</t>
  </si>
  <si>
    <t>drenaggio</t>
  </si>
  <si>
    <t>arieggiamento del terreno</t>
  </si>
  <si>
    <t>rischio tollerabile se ALARP - valutare costi/benefici del controllo</t>
  </si>
  <si>
    <t>Broussonetia papyrifera Vent. - moro da carta</t>
  </si>
  <si>
    <t>miglioramento del terreno</t>
  </si>
  <si>
    <t>Biota orientalis - biota</t>
  </si>
  <si>
    <t>puntellamento</t>
  </si>
  <si>
    <t>Betula pubescens Ehrh. - betulla pelosa</t>
  </si>
  <si>
    <t>Betula pendula Roth. - betulla bianca</t>
  </si>
  <si>
    <t>sostegno</t>
  </si>
  <si>
    <t>Arbutus unedo L. - corbezzolo</t>
  </si>
  <si>
    <t>ancoraggio</t>
  </si>
  <si>
    <t>supporto</t>
  </si>
  <si>
    <t>Alnus spp. - ontano</t>
  </si>
  <si>
    <t>diserbo</t>
  </si>
  <si>
    <t>Alnus incana Moench. - ontano bianco</t>
  </si>
  <si>
    <t>trattamento nutrizionale</t>
  </si>
  <si>
    <t xml:space="preserve">rischio tollerabile per accordo ma inaccettabile se imposto a terzi </t>
  </si>
  <si>
    <t>trattamento fitosanitario</t>
  </si>
  <si>
    <t>Alnus cordata (Loisel.) - ontano napoletano</t>
  </si>
  <si>
    <t>Albizzia julibrissin Durazzo - gaggia</t>
  </si>
  <si>
    <t>Ailanthus altissima Swingle - ailanto</t>
  </si>
  <si>
    <t>Aesculus pavia L. - pavia</t>
  </si>
  <si>
    <t>Aesculus hippocastanum L. - ippocastano</t>
  </si>
  <si>
    <t>Acer pseudoplatanus L. - acero di monte</t>
  </si>
  <si>
    <t xml:space="preserve"> </t>
  </si>
  <si>
    <t>Acer platanoides L. - acero riccio</t>
  </si>
  <si>
    <t>Acer opulifolium Chaix - acero alpino</t>
  </si>
  <si>
    <t>Acer negundo L. - acero americano</t>
  </si>
  <si>
    <t>Acer monspessulanum L. - acero minore</t>
  </si>
  <si>
    <t>Acer campestre L. - acero campestre</t>
  </si>
  <si>
    <t>Acacia dealbata Link - mimosa</t>
  </si>
  <si>
    <t>Abies cephalonica Loudon - abete greco</t>
  </si>
  <si>
    <t>valutaz ordinaria</t>
  </si>
  <si>
    <t>Abies alba L. - abete bianco</t>
  </si>
  <si>
    <t>altro da specificare</t>
  </si>
  <si>
    <t>non definito</t>
  </si>
  <si>
    <t>DATA</t>
  </si>
  <si>
    <t>opzionale</t>
  </si>
  <si>
    <t>URGENZA</t>
  </si>
  <si>
    <t>PRESCRIZIONI</t>
  </si>
  <si>
    <t>conflitti in chioma</t>
  </si>
  <si>
    <t>discesa della cima</t>
  </si>
  <si>
    <t>penetrazione</t>
  </si>
  <si>
    <t>radici avventizie</t>
  </si>
  <si>
    <t>unità minimali</t>
  </si>
  <si>
    <t>radici strozzanti</t>
  </si>
  <si>
    <t>necrosi fogliari</t>
  </si>
  <si>
    <t>colletto a imbuto</t>
  </si>
  <si>
    <t>radici scoperte</t>
  </si>
  <si>
    <t>alteraz cromatica</t>
  </si>
  <si>
    <t>alteraz morfologica</t>
  </si>
  <si>
    <t>snellezza, ecc. L/D</t>
  </si>
  <si>
    <t>rigonfiamenti</t>
  </si>
  <si>
    <t>radici tagliate</t>
  </si>
  <si>
    <t>end loading/codaleone</t>
  </si>
  <si>
    <t>danni alburno/cortic</t>
  </si>
  <si>
    <t>inclusione/anastomosi</t>
  </si>
  <si>
    <t>necrosi radicali</t>
  </si>
  <si>
    <t>neoplasie/cancri</t>
  </si>
  <si>
    <t>gibbosità</t>
  </si>
  <si>
    <t>zolla danneggiata</t>
  </si>
  <si>
    <t>chioma separata</t>
  </si>
  <si>
    <t>corteccia inclusa</t>
  </si>
  <si>
    <t>compress superior</t>
  </si>
  <si>
    <t>inserzione stretta</t>
  </si>
  <si>
    <t>erosione</t>
  </si>
  <si>
    <t>compress laterale</t>
  </si>
  <si>
    <t>banderuole</t>
  </si>
  <si>
    <t>inclusione/contatto</t>
  </si>
  <si>
    <t>trasparenza</t>
  </si>
  <si>
    <t>collo bottiglia</t>
  </si>
  <si>
    <t>sollevamento manufatti</t>
  </si>
  <si>
    <t>rami candel/pennello</t>
  </si>
  <si>
    <t>aree funzionali inattive</t>
  </si>
  <si>
    <t>ramificaz insufficiente</t>
  </si>
  <si>
    <t>legno disfunzionale</t>
  </si>
  <si>
    <t>fessure</t>
  </si>
  <si>
    <t>cavità</t>
  </si>
  <si>
    <t>pavimentazione</t>
  </si>
  <si>
    <t>carie</t>
  </si>
  <si>
    <t>carie basale</t>
  </si>
  <si>
    <t>compattazione</t>
  </si>
  <si>
    <t>capitozzatura</t>
  </si>
  <si>
    <t>legno reazione insuff</t>
  </si>
  <si>
    <t>CHIOMA</t>
  </si>
  <si>
    <t>COLLETTO</t>
  </si>
  <si>
    <t>UBICAZ</t>
  </si>
  <si>
    <t>SPECIE</t>
  </si>
  <si>
    <t>da 5 ore/giorno a costante</t>
  </si>
  <si>
    <t>da 29 min/giorno a 5 h/giorno</t>
  </si>
  <si>
    <t>traffico 30 km/h</t>
  </si>
  <si>
    <t>AMPIEZZA CHIOMA</t>
  </si>
  <si>
    <t>PEDONI</t>
  </si>
  <si>
    <t>PEDONI RAMO</t>
  </si>
  <si>
    <t>RAMO</t>
  </si>
  <si>
    <t>PEDONI CICLISTI CHIOMA</t>
  </si>
  <si>
    <t>PEDONI CICLISTI RAMO</t>
  </si>
  <si>
    <t>OCCUPAZIONE</t>
  </si>
  <si>
    <t>MANUFATTI</t>
  </si>
  <si>
    <t>SPAZIO DI FRENATA</t>
  </si>
  <si>
    <t>VELOCITà KM/H</t>
  </si>
  <si>
    <t>VELOCITà M/S</t>
  </si>
  <si>
    <t>traffico 50 km/h</t>
  </si>
  <si>
    <t>traffico 70 km/h</t>
  </si>
  <si>
    <t>traffico 90 km/h</t>
  </si>
  <si>
    <t>traffico 110 km/h</t>
  </si>
  <si>
    <t>111</t>
  </si>
  <si>
    <t>112</t>
  </si>
  <si>
    <t>113</t>
  </si>
  <si>
    <t>114</t>
  </si>
  <si>
    <t>115</t>
  </si>
  <si>
    <t>116</t>
  </si>
  <si>
    <t>117</t>
  </si>
  <si>
    <t>121</t>
  </si>
  <si>
    <t>122</t>
  </si>
  <si>
    <t>123</t>
  </si>
  <si>
    <t>124</t>
  </si>
  <si>
    <t>125</t>
  </si>
  <si>
    <t>126</t>
  </si>
  <si>
    <t>127</t>
  </si>
  <si>
    <t>131</t>
  </si>
  <si>
    <t>132</t>
  </si>
  <si>
    <t>133</t>
  </si>
  <si>
    <t>134</t>
  </si>
  <si>
    <t>135</t>
  </si>
  <si>
    <t>136</t>
  </si>
  <si>
    <t>137</t>
  </si>
  <si>
    <t>141</t>
  </si>
  <si>
    <t>142</t>
  </si>
  <si>
    <t>143</t>
  </si>
  <si>
    <t>144</t>
  </si>
  <si>
    <t>145</t>
  </si>
  <si>
    <t>146</t>
  </si>
  <si>
    <t>147</t>
  </si>
  <si>
    <t>151</t>
  </si>
  <si>
    <t>152</t>
  </si>
  <si>
    <t>153</t>
  </si>
  <si>
    <t>154</t>
  </si>
  <si>
    <t>155</t>
  </si>
  <si>
    <t>156</t>
  </si>
  <si>
    <t>157</t>
  </si>
  <si>
    <t>161</t>
  </si>
  <si>
    <t>162</t>
  </si>
  <si>
    <t>163</t>
  </si>
  <si>
    <t>164</t>
  </si>
  <si>
    <t>165</t>
  </si>
  <si>
    <t>166</t>
  </si>
  <si>
    <t>167</t>
  </si>
  <si>
    <t>171</t>
  </si>
  <si>
    <t>172</t>
  </si>
  <si>
    <t>173</t>
  </si>
  <si>
    <t>174</t>
  </si>
  <si>
    <t>175</t>
  </si>
  <si>
    <t>176</t>
  </si>
  <si>
    <t>177</t>
  </si>
  <si>
    <t>221</t>
  </si>
  <si>
    <t>222</t>
  </si>
  <si>
    <t>223</t>
  </si>
  <si>
    <t>224</t>
  </si>
  <si>
    <t>225</t>
  </si>
  <si>
    <t>226</t>
  </si>
  <si>
    <t>227</t>
  </si>
  <si>
    <t>231</t>
  </si>
  <si>
    <t>232</t>
  </si>
  <si>
    <t>233</t>
  </si>
  <si>
    <t>234</t>
  </si>
  <si>
    <t>235</t>
  </si>
  <si>
    <t>236</t>
  </si>
  <si>
    <t>237</t>
  </si>
  <si>
    <t>241</t>
  </si>
  <si>
    <t>242</t>
  </si>
  <si>
    <t>243</t>
  </si>
  <si>
    <t>244</t>
  </si>
  <si>
    <t>245</t>
  </si>
  <si>
    <t>246</t>
  </si>
  <si>
    <t>247</t>
  </si>
  <si>
    <t>251</t>
  </si>
  <si>
    <t>252</t>
  </si>
  <si>
    <t>253</t>
  </si>
  <si>
    <t>254</t>
  </si>
  <si>
    <t>255</t>
  </si>
  <si>
    <t>256</t>
  </si>
  <si>
    <t>257</t>
  </si>
  <si>
    <t>261</t>
  </si>
  <si>
    <t>262</t>
  </si>
  <si>
    <t>263</t>
  </si>
  <si>
    <t>264</t>
  </si>
  <si>
    <t>265</t>
  </si>
  <si>
    <t>266</t>
  </si>
  <si>
    <t>267</t>
  </si>
  <si>
    <t>271</t>
  </si>
  <si>
    <t>272</t>
  </si>
  <si>
    <t>273</t>
  </si>
  <si>
    <t>274</t>
  </si>
  <si>
    <t>275</t>
  </si>
  <si>
    <t>276</t>
  </si>
  <si>
    <t>277</t>
  </si>
  <si>
    <t>466</t>
  </si>
  <si>
    <t>467</t>
  </si>
  <si>
    <t>471</t>
  </si>
  <si>
    <t>472</t>
  </si>
  <si>
    <t>473</t>
  </si>
  <si>
    <t>474</t>
  </si>
  <si>
    <t>475</t>
  </si>
  <si>
    <t>476</t>
  </si>
  <si>
    <t>477</t>
  </si>
  <si>
    <t>551</t>
  </si>
  <si>
    <t>552</t>
  </si>
  <si>
    <t>553</t>
  </si>
  <si>
    <t>554</t>
  </si>
  <si>
    <t>555</t>
  </si>
  <si>
    <t>556</t>
  </si>
  <si>
    <t>557</t>
  </si>
  <si>
    <t>561</t>
  </si>
  <si>
    <t>562</t>
  </si>
  <si>
    <t>563</t>
  </si>
  <si>
    <t>564</t>
  </si>
  <si>
    <t>565</t>
  </si>
  <si>
    <t>566</t>
  </si>
  <si>
    <t>567</t>
  </si>
  <si>
    <t>571</t>
  </si>
  <si>
    <t>572</t>
  </si>
  <si>
    <t>573</t>
  </si>
  <si>
    <t>574</t>
  </si>
  <si>
    <t>575</t>
  </si>
  <si>
    <t>576</t>
  </si>
  <si>
    <t>577</t>
  </si>
  <si>
    <t>661</t>
  </si>
  <si>
    <t>662</t>
  </si>
  <si>
    <t>663</t>
  </si>
  <si>
    <t>664</t>
  </si>
  <si>
    <t>665</t>
  </si>
  <si>
    <t>666</t>
  </si>
  <si>
    <t>667</t>
  </si>
  <si>
    <t>671</t>
  </si>
  <si>
    <t>672</t>
  </si>
  <si>
    <t>673</t>
  </si>
  <si>
    <t>674</t>
  </si>
  <si>
    <t>675</t>
  </si>
  <si>
    <t>676</t>
  </si>
  <si>
    <t>677</t>
  </si>
  <si>
    <t>771</t>
  </si>
  <si>
    <t>772</t>
  </si>
  <si>
    <t>773</t>
  </si>
  <si>
    <t>774</t>
  </si>
  <si>
    <t>775</t>
  </si>
  <si>
    <t>776</t>
  </si>
  <si>
    <t>777</t>
  </si>
  <si>
    <t>&lt;1:1M</t>
  </si>
  <si>
    <t>1:200k</t>
  </si>
  <si>
    <t>1:20k</t>
  </si>
  <si>
    <t>1:2k</t>
  </si>
  <si>
    <t>AUTO - CHIOMA</t>
  </si>
  <si>
    <t>AUTO - BRANCA</t>
  </si>
  <si>
    <t>211</t>
  </si>
  <si>
    <t>212</t>
  </si>
  <si>
    <t>213</t>
  </si>
  <si>
    <t>214</t>
  </si>
  <si>
    <t>215</t>
  </si>
  <si>
    <t>216</t>
  </si>
  <si>
    <t>217</t>
  </si>
  <si>
    <t>311</t>
  </si>
  <si>
    <t>312</t>
  </si>
  <si>
    <t>313</t>
  </si>
  <si>
    <t>314</t>
  </si>
  <si>
    <t>315</t>
  </si>
  <si>
    <t>316</t>
  </si>
  <si>
    <t>317</t>
  </si>
  <si>
    <t>321</t>
  </si>
  <si>
    <t>322</t>
  </si>
  <si>
    <t>323</t>
  </si>
  <si>
    <t>511</t>
  </si>
  <si>
    <t>512</t>
  </si>
  <si>
    <t>513</t>
  </si>
  <si>
    <t>514</t>
  </si>
  <si>
    <t>515</t>
  </si>
  <si>
    <t>516</t>
  </si>
  <si>
    <t>517</t>
  </si>
  <si>
    <t>521</t>
  </si>
  <si>
    <t>522</t>
  </si>
  <si>
    <t>523</t>
  </si>
  <si>
    <t>524</t>
  </si>
  <si>
    <t>525</t>
  </si>
  <si>
    <t>526</t>
  </si>
  <si>
    <t>527</t>
  </si>
  <si>
    <t>531</t>
  </si>
  <si>
    <t>532</t>
  </si>
  <si>
    <t>533</t>
  </si>
  <si>
    <t>534</t>
  </si>
  <si>
    <t>535</t>
  </si>
  <si>
    <t>536</t>
  </si>
  <si>
    <t>537</t>
  </si>
  <si>
    <t>541</t>
  </si>
  <si>
    <t>542</t>
  </si>
  <si>
    <t>543</t>
  </si>
  <si>
    <t>544</t>
  </si>
  <si>
    <t>545</t>
  </si>
  <si>
    <t>546</t>
  </si>
  <si>
    <t>547</t>
  </si>
  <si>
    <t>611</t>
  </si>
  <si>
    <t>612</t>
  </si>
  <si>
    <t>613</t>
  </si>
  <si>
    <t>614</t>
  </si>
  <si>
    <t>615</t>
  </si>
  <si>
    <t>616</t>
  </si>
  <si>
    <t>617</t>
  </si>
  <si>
    <t>621</t>
  </si>
  <si>
    <t>622</t>
  </si>
  <si>
    <t>623</t>
  </si>
  <si>
    <t>624</t>
  </si>
  <si>
    <t>625</t>
  </si>
  <si>
    <t>626</t>
  </si>
  <si>
    <t>627</t>
  </si>
  <si>
    <t>631</t>
  </si>
  <si>
    <t>632</t>
  </si>
  <si>
    <t>633</t>
  </si>
  <si>
    <t>634</t>
  </si>
  <si>
    <t>635</t>
  </si>
  <si>
    <t>636</t>
  </si>
  <si>
    <t>637</t>
  </si>
  <si>
    <t>641</t>
  </si>
  <si>
    <t>642</t>
  </si>
  <si>
    <t>643</t>
  </si>
  <si>
    <t>644</t>
  </si>
  <si>
    <t>645</t>
  </si>
  <si>
    <t>646</t>
  </si>
  <si>
    <t>647</t>
  </si>
  <si>
    <t>651</t>
  </si>
  <si>
    <t>652</t>
  </si>
  <si>
    <t>653</t>
  </si>
  <si>
    <t>654</t>
  </si>
  <si>
    <t>655</t>
  </si>
  <si>
    <t>656</t>
  </si>
  <si>
    <t>657</t>
  </si>
  <si>
    <t>711</t>
  </si>
  <si>
    <t>712</t>
  </si>
  <si>
    <t>713</t>
  </si>
  <si>
    <t>714</t>
  </si>
  <si>
    <t>715</t>
  </si>
  <si>
    <t>716</t>
  </si>
  <si>
    <t>717</t>
  </si>
  <si>
    <t>721</t>
  </si>
  <si>
    <t>722</t>
  </si>
  <si>
    <t>723</t>
  </si>
  <si>
    <t>724</t>
  </si>
  <si>
    <t>725</t>
  </si>
  <si>
    <t>726</t>
  </si>
  <si>
    <t>727</t>
  </si>
  <si>
    <t>731</t>
  </si>
  <si>
    <t>732</t>
  </si>
  <si>
    <t>733</t>
  </si>
  <si>
    <t>734</t>
  </si>
  <si>
    <t>735</t>
  </si>
  <si>
    <t>736</t>
  </si>
  <si>
    <t>737</t>
  </si>
  <si>
    <t>741</t>
  </si>
  <si>
    <t>742</t>
  </si>
  <si>
    <t>743</t>
  </si>
  <si>
    <t>744</t>
  </si>
  <si>
    <t>745</t>
  </si>
  <si>
    <t>746</t>
  </si>
  <si>
    <t>747</t>
  </si>
  <si>
    <t>751</t>
  </si>
  <si>
    <t>752</t>
  </si>
  <si>
    <t>753</t>
  </si>
  <si>
    <t>754</t>
  </si>
  <si>
    <t>755</t>
  </si>
  <si>
    <t>756</t>
  </si>
  <si>
    <t>757</t>
  </si>
  <si>
    <t>761</t>
  </si>
  <si>
    <t>762</t>
  </si>
  <si>
    <t>763</t>
  </si>
  <si>
    <t>764</t>
  </si>
  <si>
    <t>765</t>
  </si>
  <si>
    <t>766</t>
  </si>
  <si>
    <t>767</t>
  </si>
  <si>
    <t>DESCRITTORE</t>
  </si>
  <si>
    <t>ID</t>
  </si>
  <si>
    <t>aiuola spartitraffico</t>
  </si>
  <si>
    <t>cordoli</t>
  </si>
  <si>
    <t>assenti</t>
  </si>
  <si>
    <t>colletto</t>
  </si>
  <si>
    <t>kgm/s</t>
  </si>
  <si>
    <t>non valutabile</t>
  </si>
  <si>
    <t>sollevamento zolla</t>
  </si>
  <si>
    <t>carpofori</t>
  </si>
  <si>
    <t>radici</t>
  </si>
  <si>
    <t>castello</t>
  </si>
  <si>
    <t>chioma</t>
  </si>
  <si>
    <t>RILEVATORE</t>
  </si>
  <si>
    <t>CODICE</t>
  </si>
  <si>
    <t>Circ</t>
  </si>
  <si>
    <t>aiuola</t>
  </si>
  <si>
    <t>banchina stradale</t>
  </si>
  <si>
    <t>buco asfalto</t>
  </si>
  <si>
    <t>prato</t>
  </si>
  <si>
    <t>scarpata</t>
  </si>
  <si>
    <t>terreno coltivato</t>
  </si>
  <si>
    <t>terreno incolto</t>
  </si>
  <si>
    <t>altro</t>
  </si>
  <si>
    <t>DIMORA</t>
  </si>
  <si>
    <t>cartellonistica</t>
  </si>
  <si>
    <t>cavi aerei</t>
  </si>
  <si>
    <t>fabbricati</t>
  </si>
  <si>
    <t>lampioni</t>
  </si>
  <si>
    <t>manufatti</t>
  </si>
  <si>
    <t>marciapiedi</t>
  </si>
  <si>
    <t>muri</t>
  </si>
  <si>
    <t>oggetti inglobati</t>
  </si>
  <si>
    <t>strutture a sbalzo</t>
  </si>
  <si>
    <t>COD</t>
  </si>
  <si>
    <t>1:3</t>
  </si>
  <si>
    <t>1:20</t>
  </si>
  <si>
    <t>1:200</t>
  </si>
  <si>
    <t>1:12k</t>
  </si>
  <si>
    <t>1:800k</t>
  </si>
  <si>
    <t>1:80k</t>
  </si>
  <si>
    <t>1:8k</t>
  </si>
  <si>
    <t>1:130k</t>
  </si>
  <si>
    <t>1:120k</t>
  </si>
  <si>
    <t>1:800</t>
  </si>
  <si>
    <t>b</t>
  </si>
  <si>
    <t>c</t>
  </si>
  <si>
    <t>oppressa</t>
  </si>
  <si>
    <t>dominata</t>
  </si>
  <si>
    <t>intermedia</t>
  </si>
  <si>
    <t>codominante</t>
  </si>
  <si>
    <t>isolata</t>
  </si>
  <si>
    <t>POSIZIONE SOCIALE</t>
  </si>
  <si>
    <t>C</t>
  </si>
  <si>
    <t>E</t>
  </si>
  <si>
    <t>LOCALIZZAZIONE</t>
  </si>
  <si>
    <t>aree rurali</t>
  </si>
  <si>
    <t>periferia recente</t>
  </si>
  <si>
    <t>periferia antica</t>
  </si>
  <si>
    <t>giardino storico</t>
  </si>
  <si>
    <t>centro città</t>
  </si>
  <si>
    <t>centro storico</t>
  </si>
  <si>
    <t>giardino recente</t>
  </si>
  <si>
    <t>parco recente</t>
  </si>
  <si>
    <t>parco storico</t>
  </si>
  <si>
    <t>alberata stradale</t>
  </si>
  <si>
    <t>cimitero</t>
  </si>
  <si>
    <t>parcheggio</t>
  </si>
  <si>
    <t>bosco</t>
  </si>
  <si>
    <t>marker</t>
  </si>
  <si>
    <t>monumentale</t>
  </si>
  <si>
    <t>H br</t>
  </si>
  <si>
    <t>Segni, sintomi e difetti che vanno approfonditi ulteriormente - VALUTAZIONE SOSPESA</t>
  </si>
  <si>
    <t>PRESCRIZIONI VALUTATIVE</t>
  </si>
  <si>
    <t>PRESCRIZIONI MITIGAZIONE</t>
  </si>
  <si>
    <t>PRESCRIZIONI COLTURALI</t>
  </si>
  <si>
    <t>controllo inclinazione</t>
  </si>
  <si>
    <t>valutazione in quota</t>
  </si>
  <si>
    <t>VINCOLISTICA</t>
  </si>
  <si>
    <t>paesaggistico</t>
  </si>
  <si>
    <t>Vincoli</t>
  </si>
  <si>
    <t>---</t>
  </si>
  <si>
    <t>P.Soc.</t>
  </si>
  <si>
    <t>plantula</t>
  </si>
  <si>
    <t>albero adulto</t>
  </si>
  <si>
    <t>albero senescente</t>
  </si>
  <si>
    <t>albero veterano</t>
  </si>
  <si>
    <t>STADIO DI SVILUPPO</t>
  </si>
  <si>
    <t>STADIO</t>
  </si>
  <si>
    <t>CIRCONF</t>
  </si>
  <si>
    <t>Qual monum basica</t>
  </si>
  <si>
    <t>Qual funzionale</t>
  </si>
  <si>
    <t>Qual ornamentale basica</t>
  </si>
  <si>
    <t>Val Ornamentale MAXIMO</t>
  </si>
  <si>
    <t>Specie</t>
  </si>
  <si>
    <t>D tr</t>
  </si>
  <si>
    <t>intersez</t>
  </si>
  <si>
    <t>filare arboreo</t>
  </si>
  <si>
    <t>gruppo/boschetto</t>
  </si>
  <si>
    <t>rimboschimento</t>
  </si>
  <si>
    <t>tornello</t>
  </si>
  <si>
    <t>piazza</t>
  </si>
  <si>
    <t>Hbers</t>
  </si>
  <si>
    <t>monitoraggio</t>
  </si>
  <si>
    <t>urgenza</t>
  </si>
  <si>
    <t>6 mesi</t>
  </si>
  <si>
    <t>2 anni</t>
  </si>
  <si>
    <t>3 anni</t>
  </si>
  <si>
    <t>5 anni</t>
  </si>
  <si>
    <t>10 anni</t>
  </si>
  <si>
    <t>differibile</t>
  </si>
  <si>
    <t>&lt; 6 mesi</t>
  </si>
  <si>
    <t>1 anno</t>
  </si>
  <si>
    <t>subito</t>
  </si>
  <si>
    <t>codominanza</t>
  </si>
  <si>
    <t>incavo</t>
  </si>
  <si>
    <t>chioma spalcata</t>
  </si>
  <si>
    <t>chioma diradata</t>
  </si>
  <si>
    <t>deperim. irreversibile</t>
  </si>
  <si>
    <t>Segni, sintomi e difetti incerti - Probabilità di cedimento nell'anno 1/500-1/5K</t>
  </si>
  <si>
    <t>V. avanzata + test trazione</t>
  </si>
  <si>
    <t>affondam in comprex</t>
  </si>
  <si>
    <t>rialzamento in traz.</t>
  </si>
  <si>
    <t>N.S.</t>
  </si>
  <si>
    <t>Non significativo</t>
  </si>
  <si>
    <t>abbattimento nel medio periodo in un ottica di rinnovazione colturale</t>
  </si>
  <si>
    <t>stagionale</t>
  </si>
  <si>
    <t xml:space="preserve">rischio tollerabile per accordo se il valore è molto elevato </t>
  </si>
  <si>
    <t>rischio largamente accettabile</t>
  </si>
  <si>
    <t>terrapieno</t>
  </si>
  <si>
    <t>CONFLITTI</t>
  </si>
  <si>
    <t>pieghe a molla</t>
  </si>
  <si>
    <t>delaminazione</t>
  </si>
  <si>
    <t>colletto sepolto</t>
  </si>
  <si>
    <t>bombatura</t>
  </si>
  <si>
    <t>strozzatura</t>
  </si>
  <si>
    <t>deviazione</t>
  </si>
  <si>
    <t>piega a S</t>
  </si>
  <si>
    <t>perdita leader</t>
  </si>
  <si>
    <t>naso bulldog</t>
  </si>
  <si>
    <t>naso pinocchio</t>
  </si>
  <si>
    <t>succhioni</t>
  </si>
  <si>
    <t>polloni</t>
  </si>
  <si>
    <t>zampe di cane</t>
  </si>
  <si>
    <t>torsioni/pieghe</t>
  </si>
  <si>
    <t>inserz orizzont</t>
  </si>
  <si>
    <t>branca deperiente</t>
  </si>
  <si>
    <t>discontinuità corona</t>
  </si>
  <si>
    <t>cedimenti pregressi</t>
  </si>
  <si>
    <t>pieghe fisarmonica</t>
  </si>
  <si>
    <t>ristagno idrico</t>
  </si>
  <si>
    <t>radici fini visibili</t>
  </si>
  <si>
    <t>esploratrici esposte</t>
  </si>
  <si>
    <t>chioma lacunosa</t>
  </si>
  <si>
    <t>chioma asimmetrica</t>
  </si>
  <si>
    <t>chioma a bandiera</t>
  </si>
  <si>
    <t>chioma a pennello</t>
  </si>
  <si>
    <t>parassiti/epifite</t>
  </si>
  <si>
    <t>insetti/danni insetti</t>
  </si>
  <si>
    <t>alteraz da animali</t>
  </si>
  <si>
    <t>bruciatura</t>
  </si>
  <si>
    <t>abrasioni</t>
  </si>
  <si>
    <t>monconi</t>
  </si>
  <si>
    <t>mozziconi</t>
  </si>
  <si>
    <t>cretti orizz</t>
  </si>
  <si>
    <t>bucature</t>
  </si>
  <si>
    <t>snellezza</t>
  </si>
  <si>
    <t>cretti elicoidali</t>
  </si>
  <si>
    <t>depressione</t>
  </si>
  <si>
    <t>lianose</t>
  </si>
  <si>
    <t>arbusti</t>
  </si>
  <si>
    <t>veg. erbacea</t>
  </si>
  <si>
    <t>pedoni</t>
  </si>
  <si>
    <t>predominante</t>
  </si>
  <si>
    <t>radici affioranti</t>
  </si>
  <si>
    <t>radici esposte</t>
  </si>
  <si>
    <t>radici decorticate</t>
  </si>
  <si>
    <t>radici avvolgenti</t>
  </si>
  <si>
    <t>ricarico zolla</t>
  </si>
  <si>
    <t>rigonf. anello</t>
  </si>
  <si>
    <t xml:space="preserve">scosciature </t>
  </si>
  <si>
    <t>cretti vert.</t>
  </si>
  <si>
    <t>cretti all'inserz.</t>
  </si>
  <si>
    <t>deprex all'inserz.</t>
  </si>
  <si>
    <t>ramificaz lacunosa</t>
  </si>
  <si>
    <t>inser debole</t>
  </si>
  <si>
    <t>rami patenti</t>
  </si>
  <si>
    <t>altri alberi</t>
  </si>
  <si>
    <t>cavi storrenaei</t>
  </si>
  <si>
    <t>veicoli</t>
  </si>
  <si>
    <t>Armillaria sp.</t>
  </si>
  <si>
    <t>Daedalea quercina</t>
  </si>
  <si>
    <t>Ganoderma adspersum</t>
  </si>
  <si>
    <t>Ganoderma lipsiense</t>
  </si>
  <si>
    <t>Ganoderma lucidum</t>
  </si>
  <si>
    <t>Ganoderma resinaceum</t>
  </si>
  <si>
    <t>Inonotus cuticularis</t>
  </si>
  <si>
    <t>Perenniporia fraxinea</t>
  </si>
  <si>
    <t>Meripilus giganteus</t>
  </si>
  <si>
    <t>Phellinus punctatus</t>
  </si>
  <si>
    <t>Phellinus torulosus</t>
  </si>
  <si>
    <t>Polyporus squamosus</t>
  </si>
  <si>
    <t>Rigidoporus ulmarius</t>
  </si>
  <si>
    <t>Agrocybe aegerita</t>
  </si>
  <si>
    <t>Collybia fusipes</t>
  </si>
  <si>
    <t>Fomes fomentarius</t>
  </si>
  <si>
    <t>Heterobasidion annosum</t>
  </si>
  <si>
    <t>Inonotus hispidus</t>
  </si>
  <si>
    <t>Inonotus dryadeus</t>
  </si>
  <si>
    <t>Inonotus tamaricis</t>
  </si>
  <si>
    <t>Thielaviopsis paradoxa</t>
  </si>
  <si>
    <t>Phaeolus schweinitzii</t>
  </si>
  <si>
    <t>Fistulina epatica</t>
  </si>
  <si>
    <t>Fomitopsis pinicola</t>
  </si>
  <si>
    <t>Laetiporus sulphureus</t>
  </si>
  <si>
    <t>Abortiporus biennis</t>
  </si>
  <si>
    <t>Cerrena unicolor</t>
  </si>
  <si>
    <t>Coniophora puteana</t>
  </si>
  <si>
    <t>Daldinia concentrica</t>
  </si>
  <si>
    <t>Fomitopsis hiberica</t>
  </si>
  <si>
    <t>Ganoderma applanatum</t>
  </si>
  <si>
    <t>Ganoderma australe</t>
  </si>
  <si>
    <t>Grifola frondosa</t>
  </si>
  <si>
    <t>Inonotus rickii</t>
  </si>
  <si>
    <t>Oxyporus latemarginatus</t>
  </si>
  <si>
    <t>Oxyporus populinus</t>
  </si>
  <si>
    <t>Phellinus igniarius</t>
  </si>
  <si>
    <t>Phellinus pini</t>
  </si>
  <si>
    <t>Phellinus pomaceus</t>
  </si>
  <si>
    <t>Phellinus robustus</t>
  </si>
  <si>
    <t>Pholiota spp.</t>
  </si>
  <si>
    <t>Spongipellis pachiodon</t>
  </si>
  <si>
    <t>Spongipellis pumeus</t>
  </si>
  <si>
    <t>Trametes gibbosa</t>
  </si>
  <si>
    <t>Trametes versicolor</t>
  </si>
  <si>
    <t>Processionaria</t>
  </si>
  <si>
    <t>Tomicus</t>
  </si>
  <si>
    <t>Punteruolo rosso</t>
  </si>
  <si>
    <t>Paisandisia</t>
  </si>
  <si>
    <t>Grafiosi</t>
  </si>
  <si>
    <t>Tortrice</t>
  </si>
  <si>
    <t>Cancro corticale</t>
  </si>
  <si>
    <t>Cancro colorato</t>
  </si>
  <si>
    <t>Scolitidi</t>
  </si>
  <si>
    <t>Cerambicidi</t>
  </si>
  <si>
    <t>LOCALIZ</t>
  </si>
  <si>
    <t>chioma esposta</t>
  </si>
  <si>
    <t>Phoenix canariensis C. - palma delle Canarie</t>
  </si>
  <si>
    <t>Magnolia x soulangeana Solu. Bod.- magnolia</t>
  </si>
  <si>
    <t>Lagerstroemia indica L. - albero San Bartolomeo</t>
  </si>
  <si>
    <t>Eryobotria japonica L. - nespolo giapponese</t>
  </si>
  <si>
    <t xml:space="preserve">Cupressus sempervirens L. - cipresso </t>
  </si>
  <si>
    <t>Chamaecyparis nootkatensis - cipresso di Nootka</t>
  </si>
  <si>
    <t>Cinnamomum camphora - canfora</t>
  </si>
  <si>
    <t>Cedrus atlantica - cedro dell'Atlante</t>
  </si>
  <si>
    <t>Calocedrus decurrens - cedro della California</t>
  </si>
  <si>
    <t>Cupressus arizonica - cipresso dell'Arizona</t>
  </si>
  <si>
    <t>Sequoiadendron giganteum - sequoia gigante</t>
  </si>
  <si>
    <t>Chamaecyparis lawsoniana - Lawson</t>
  </si>
  <si>
    <t>Cupressus macrocarpa - cipresso Monterey</t>
  </si>
  <si>
    <t>AGENTI DI CARIE</t>
  </si>
  <si>
    <t>ALTRI PATOGENI</t>
  </si>
  <si>
    <t>Jubaea chilensis</t>
  </si>
  <si>
    <t>piantagione</t>
  </si>
  <si>
    <t>spessina</t>
  </si>
  <si>
    <t>perticaia</t>
  </si>
  <si>
    <t>fustaia adulta</t>
  </si>
  <si>
    <t>fustaia giovane</t>
  </si>
  <si>
    <t>fustaia matura</t>
  </si>
  <si>
    <t>fustaia stramatura</t>
  </si>
  <si>
    <t>fustaia disetanea</t>
  </si>
  <si>
    <t>ceduo semplice</t>
  </si>
  <si>
    <t>ceduo composto</t>
  </si>
  <si>
    <t>ceduo a sterzo</t>
  </si>
  <si>
    <t>avviamento altofusto</t>
  </si>
  <si>
    <t>L Br</t>
  </si>
  <si>
    <t>da definire dopo la valutazione</t>
  </si>
  <si>
    <t>rischio inaccettabile - abbattimento o eliminazione del rischio</t>
  </si>
  <si>
    <t>pannello informativo</t>
  </si>
  <si>
    <t>cartello di pericolo</t>
  </si>
  <si>
    <t>divieto di passaggio</t>
  </si>
  <si>
    <t>transennatura area a rischio</t>
  </si>
  <si>
    <t>divieto di sosta permanente</t>
  </si>
  <si>
    <t>delimitazione area a rischio</t>
  </si>
  <si>
    <t>spostamento del bersaglio</t>
  </si>
  <si>
    <t>recinzione area a rischio</t>
  </si>
  <si>
    <t>libera (p giovane)</t>
  </si>
  <si>
    <t>V. avanzata + penetrom. al colletto</t>
  </si>
  <si>
    <t>V. avanzata + penetrom. in quota</t>
  </si>
  <si>
    <t>V. avanzata + tomografia al colletto</t>
  </si>
  <si>
    <t>V. avanzata + tomografia in quota</t>
  </si>
  <si>
    <t>V. avanzata + penetrom. sul tronco</t>
  </si>
  <si>
    <t>V. avanzata + tomografia sul tronco</t>
  </si>
  <si>
    <t>palma giovane</t>
  </si>
  <si>
    <t>palma adulta</t>
  </si>
  <si>
    <t>palma senescente</t>
  </si>
  <si>
    <t>palma veterana</t>
  </si>
  <si>
    <t>0 x difetto</t>
  </si>
  <si>
    <t>0 x sospet</t>
  </si>
  <si>
    <t>0 x costituz</t>
  </si>
  <si>
    <t>Albero NON idoneo al contesto. Abbattimento prescritto non urgente.</t>
  </si>
  <si>
    <t>Albero da sottoporre a interventi di trattamento selvicolturale.</t>
  </si>
  <si>
    <t>Albero compromesso fisiologicamente (es. dominato, sovrannumerario o con poco spazio a disposizione). Abbattimento non urgente per motivi colturali.</t>
  </si>
  <si>
    <t>Albero di scarso valore ornamentale. Abbattimento consigliato non urgente. Cure colturali antieconomiche e non risolutive.</t>
  </si>
  <si>
    <t>Albero morto in piedi. Abbattimento non urgente.</t>
  </si>
  <si>
    <t>da 3 a 29 min/giorno</t>
  </si>
  <si>
    <t>al bisogno</t>
  </si>
  <si>
    <t>4 anni</t>
  </si>
  <si>
    <t>6 anni</t>
  </si>
  <si>
    <t>Agrigento</t>
  </si>
  <si>
    <t>AG</t>
  </si>
  <si>
    <t>Alessandria</t>
  </si>
  <si>
    <t>AL</t>
  </si>
  <si>
    <t>Ancona</t>
  </si>
  <si>
    <t>AN</t>
  </si>
  <si>
    <t>Aosta</t>
  </si>
  <si>
    <t>AO</t>
  </si>
  <si>
    <t>Arezzo</t>
  </si>
  <si>
    <t>AR</t>
  </si>
  <si>
    <t>Ascoli Piceno</t>
  </si>
  <si>
    <t>AP</t>
  </si>
  <si>
    <t>Asti</t>
  </si>
  <si>
    <t>AT</t>
  </si>
  <si>
    <t>Avellino</t>
  </si>
  <si>
    <t>AV</t>
  </si>
  <si>
    <t>Bari</t>
  </si>
  <si>
    <t>BA</t>
  </si>
  <si>
    <t>Barletta-Andria-Trani</t>
  </si>
  <si>
    <t>BT</t>
  </si>
  <si>
    <t>Belluno</t>
  </si>
  <si>
    <t>BL</t>
  </si>
  <si>
    <t>Benevento</t>
  </si>
  <si>
    <t>BN</t>
  </si>
  <si>
    <t>Bergamo</t>
  </si>
  <si>
    <t>BG</t>
  </si>
  <si>
    <t>Biella</t>
  </si>
  <si>
    <t>BI</t>
  </si>
  <si>
    <t>Bologna</t>
  </si>
  <si>
    <t>BO</t>
  </si>
  <si>
    <t>Bolzano</t>
  </si>
  <si>
    <t>BZ</t>
  </si>
  <si>
    <t>Brescia</t>
  </si>
  <si>
    <t>BS</t>
  </si>
  <si>
    <t>Brindisi</t>
  </si>
  <si>
    <t>BR</t>
  </si>
  <si>
    <t>Cagliari</t>
  </si>
  <si>
    <t>CA</t>
  </si>
  <si>
    <t>Caltanissetta</t>
  </si>
  <si>
    <t>CL</t>
  </si>
  <si>
    <t>Campobasso</t>
  </si>
  <si>
    <t>CB</t>
  </si>
  <si>
    <t>Carbonia-Iglesias</t>
  </si>
  <si>
    <t>CI</t>
  </si>
  <si>
    <t>Caserta</t>
  </si>
  <si>
    <t>CE</t>
  </si>
  <si>
    <t>Catania</t>
  </si>
  <si>
    <t>CT</t>
  </si>
  <si>
    <t>Catanzaro</t>
  </si>
  <si>
    <t>CZ</t>
  </si>
  <si>
    <t>Chieti</t>
  </si>
  <si>
    <t>CH</t>
  </si>
  <si>
    <t>Como</t>
  </si>
  <si>
    <t>CO</t>
  </si>
  <si>
    <t>Cosenza</t>
  </si>
  <si>
    <t>CS</t>
  </si>
  <si>
    <t>Cremona</t>
  </si>
  <si>
    <t>CR</t>
  </si>
  <si>
    <t>Crotone</t>
  </si>
  <si>
    <t>KR</t>
  </si>
  <si>
    <t>Cuneo</t>
  </si>
  <si>
    <t>CN</t>
  </si>
  <si>
    <t>Enna</t>
  </si>
  <si>
    <t>EN</t>
  </si>
  <si>
    <t>Fermo</t>
  </si>
  <si>
    <t>FM</t>
  </si>
  <si>
    <t>Ferrara</t>
  </si>
  <si>
    <t>FE</t>
  </si>
  <si>
    <t>Firenze</t>
  </si>
  <si>
    <t>FI</t>
  </si>
  <si>
    <t>Foggia</t>
  </si>
  <si>
    <t>FG</t>
  </si>
  <si>
    <t>Forlì-Cesena</t>
  </si>
  <si>
    <t>FC</t>
  </si>
  <si>
    <t>Frosinone</t>
  </si>
  <si>
    <t>FR</t>
  </si>
  <si>
    <t>Genova</t>
  </si>
  <si>
    <t>GE</t>
  </si>
  <si>
    <t>Gorizia</t>
  </si>
  <si>
    <t>GO</t>
  </si>
  <si>
    <t>Grosseto</t>
  </si>
  <si>
    <t>GR</t>
  </si>
  <si>
    <t>Imperia</t>
  </si>
  <si>
    <t>IM</t>
  </si>
  <si>
    <t>Isernia</t>
  </si>
  <si>
    <t>IS</t>
  </si>
  <si>
    <t>La Spezia</t>
  </si>
  <si>
    <t>SP</t>
  </si>
  <si>
    <t>L'Aquila</t>
  </si>
  <si>
    <t>AQ</t>
  </si>
  <si>
    <t>Latina</t>
  </si>
  <si>
    <t>LT</t>
  </si>
  <si>
    <t>Lecce</t>
  </si>
  <si>
    <t>LE</t>
  </si>
  <si>
    <t>Lecco</t>
  </si>
  <si>
    <t>LC</t>
  </si>
  <si>
    <t>Livorno</t>
  </si>
  <si>
    <t>LI</t>
  </si>
  <si>
    <t>Lodi</t>
  </si>
  <si>
    <t>LO</t>
  </si>
  <si>
    <t>Lucca</t>
  </si>
  <si>
    <t>LU</t>
  </si>
  <si>
    <t>Macerata</t>
  </si>
  <si>
    <t>MC</t>
  </si>
  <si>
    <t>Mantova</t>
  </si>
  <si>
    <t>MN</t>
  </si>
  <si>
    <t>Massa-Carrara</t>
  </si>
  <si>
    <t>MS</t>
  </si>
  <si>
    <t>Matera</t>
  </si>
  <si>
    <t>MT</t>
  </si>
  <si>
    <t>Messina</t>
  </si>
  <si>
    <t>ME</t>
  </si>
  <si>
    <t>Milano</t>
  </si>
  <si>
    <t>MI</t>
  </si>
  <si>
    <t>Modena</t>
  </si>
  <si>
    <t>MO</t>
  </si>
  <si>
    <t>Monza e della Brianza</t>
  </si>
  <si>
    <t>MB</t>
  </si>
  <si>
    <t>Napoli</t>
  </si>
  <si>
    <t>NA</t>
  </si>
  <si>
    <t>Novara</t>
  </si>
  <si>
    <t>NO</t>
  </si>
  <si>
    <t>Nuoro</t>
  </si>
  <si>
    <t>NU</t>
  </si>
  <si>
    <t>Oristano</t>
  </si>
  <si>
    <t>OR</t>
  </si>
  <si>
    <t>Padova</t>
  </si>
  <si>
    <t>PD</t>
  </si>
  <si>
    <t>Palermo</t>
  </si>
  <si>
    <t>PA</t>
  </si>
  <si>
    <t>Parma</t>
  </si>
  <si>
    <t>PR</t>
  </si>
  <si>
    <t>Pavia</t>
  </si>
  <si>
    <t>PV</t>
  </si>
  <si>
    <t>Perugia</t>
  </si>
  <si>
    <t>PG</t>
  </si>
  <si>
    <t>Pesaro e Urbino</t>
  </si>
  <si>
    <t>PU</t>
  </si>
  <si>
    <t>Pescara</t>
  </si>
  <si>
    <t>PE</t>
  </si>
  <si>
    <t>Piacenza</t>
  </si>
  <si>
    <t>PC</t>
  </si>
  <si>
    <t>Pisa</t>
  </si>
  <si>
    <t>PI</t>
  </si>
  <si>
    <t>Pistoia</t>
  </si>
  <si>
    <t>PT</t>
  </si>
  <si>
    <t>Pordenone</t>
  </si>
  <si>
    <t>PN</t>
  </si>
  <si>
    <t>Potenza</t>
  </si>
  <si>
    <t>PZ</t>
  </si>
  <si>
    <t>Prato</t>
  </si>
  <si>
    <t>PO</t>
  </si>
  <si>
    <t>Ragusa</t>
  </si>
  <si>
    <t>RG</t>
  </si>
  <si>
    <t>Ravenna</t>
  </si>
  <si>
    <t>RA</t>
  </si>
  <si>
    <t>Reggio Calabria</t>
  </si>
  <si>
    <t>RC</t>
  </si>
  <si>
    <t>Reggio Emilia</t>
  </si>
  <si>
    <t>RE</t>
  </si>
  <si>
    <t>Rieti</t>
  </si>
  <si>
    <t>RI</t>
  </si>
  <si>
    <t>Rimini</t>
  </si>
  <si>
    <t>RN</t>
  </si>
  <si>
    <t>Roma</t>
  </si>
  <si>
    <t>RM</t>
  </si>
  <si>
    <t>Rovigo</t>
  </si>
  <si>
    <t>RO</t>
  </si>
  <si>
    <t>Salerno</t>
  </si>
  <si>
    <t>SA</t>
  </si>
  <si>
    <t>Sassari</t>
  </si>
  <si>
    <t>SS</t>
  </si>
  <si>
    <t>Savona</t>
  </si>
  <si>
    <t>SV</t>
  </si>
  <si>
    <t>Siena</t>
  </si>
  <si>
    <t>SI</t>
  </si>
  <si>
    <t>Siracusa</t>
  </si>
  <si>
    <t>SR</t>
  </si>
  <si>
    <t>Sondrio</t>
  </si>
  <si>
    <t>SO</t>
  </si>
  <si>
    <t>Taranto</t>
  </si>
  <si>
    <t>TA</t>
  </si>
  <si>
    <t>Teramo</t>
  </si>
  <si>
    <t>TE</t>
  </si>
  <si>
    <t>Terni</t>
  </si>
  <si>
    <t>TR</t>
  </si>
  <si>
    <t>Torino</t>
  </si>
  <si>
    <t>TO</t>
  </si>
  <si>
    <t>Trapani</t>
  </si>
  <si>
    <t>TP</t>
  </si>
  <si>
    <t>Trento</t>
  </si>
  <si>
    <t>TN</t>
  </si>
  <si>
    <t>Treviso</t>
  </si>
  <si>
    <t>TV</t>
  </si>
  <si>
    <t>Trieste</t>
  </si>
  <si>
    <t>TS</t>
  </si>
  <si>
    <t>Udine</t>
  </si>
  <si>
    <t>UD</t>
  </si>
  <si>
    <t>Varese</t>
  </si>
  <si>
    <t>VA</t>
  </si>
  <si>
    <t>Venezia</t>
  </si>
  <si>
    <t>VE</t>
  </si>
  <si>
    <t>Verbano-Cusio-Ossola</t>
  </si>
  <si>
    <t>VB</t>
  </si>
  <si>
    <t>Vercelli</t>
  </si>
  <si>
    <t>VC</t>
  </si>
  <si>
    <t>Verona</t>
  </si>
  <si>
    <t>VR</t>
  </si>
  <si>
    <t>Vibo Valentia</t>
  </si>
  <si>
    <t>VV</t>
  </si>
  <si>
    <t>Vicenza</t>
  </si>
  <si>
    <t>VI</t>
  </si>
  <si>
    <t>Viterbo</t>
  </si>
  <si>
    <t>VT</t>
  </si>
  <si>
    <t>valutazione avanzata</t>
  </si>
  <si>
    <t>divieto di sosta temporaneo</t>
  </si>
  <si>
    <t>foglio informativo</t>
  </si>
  <si>
    <t>delimitazione percorsi</t>
  </si>
  <si>
    <t>abbattimento senza sostituzione nel sito di vegetazione</t>
  </si>
  <si>
    <t>abbattimento con sostituzione nel sito di vegetazione</t>
  </si>
  <si>
    <t>abbattimento non urgente per mancanza di idoneità, limitata aspettativa di vita, ecc.</t>
  </si>
  <si>
    <t>cat</t>
  </si>
  <si>
    <t>valmax</t>
  </si>
  <si>
    <t>PROVINCIA</t>
  </si>
  <si>
    <t>S</t>
  </si>
  <si>
    <t>Condizioni vegetative e/o fitosanitarie pessime. Albero compromesso e pericoloso. Abbattimento urgente</t>
  </si>
  <si>
    <t>Albero morto in piedi. Porzioni in disfacimento. Abbattimento urgente.</t>
  </si>
  <si>
    <t>Brahea armata</t>
  </si>
  <si>
    <t xml:space="preserve">Condizioni fitosanitarie ottimali </t>
  </si>
  <si>
    <t>Condizioni fitosanitarie buone o comunque non tali da condizionare la salute</t>
  </si>
  <si>
    <t>Condizioni vegetative ottimali (conflitti assenti o trascurabili)</t>
  </si>
  <si>
    <t>Condizioni vegetative mediocri (conflitti presenti a livello di chioma)</t>
  </si>
  <si>
    <t>Condizioni vegetative mediocri (conflitti presenti a livello radicale)</t>
  </si>
  <si>
    <t>Condizioni vegetative mediocri (conflitti con manufatti, alberi, ecc.)</t>
  </si>
  <si>
    <t>Condizioni vegetative scadenti (conflitti sensibili con manufatti, alberi, ecc.)</t>
  </si>
  <si>
    <t>Condizioni vegetative scadenti (conflitti sensibili a livello radicale)</t>
  </si>
  <si>
    <t>Condizioni vegetative scadenti (conflitti sensibili a livello di chioma)</t>
  </si>
  <si>
    <t>Condizioni vegetative scadenti (presenza di limitazioni per la vegetazione)</t>
  </si>
  <si>
    <t>Condizioni vegetative pessime (conflitti non ammissibili a livello radicale)</t>
  </si>
  <si>
    <t>Condizioni vegetative pessime (conflitti non ammissibili a livello di chioma)</t>
  </si>
  <si>
    <t>microfillia</t>
  </si>
  <si>
    <t>danni da € 600'000 a 3'000'000</t>
  </si>
  <si>
    <t>danni da € 60'000 a € 600'000</t>
  </si>
  <si>
    <t>danni da € 6'000 a € 60'000</t>
  </si>
  <si>
    <t>danni da € 600 a € 6'000</t>
  </si>
  <si>
    <t>danni da € 60 a € 600</t>
  </si>
  <si>
    <t>danni da € 6 a € 60</t>
  </si>
  <si>
    <t>danni da € 3 a € 6</t>
  </si>
  <si>
    <t>da 2 min/sett. a 3 min/giorno</t>
  </si>
  <si>
    <t>da 0,9 min/mese a 2 min/sett.</t>
  </si>
  <si>
    <t>da 1 min/anno a 0,9 min/mese</t>
  </si>
  <si>
    <t>da 0,5 a 1 min/anno</t>
  </si>
  <si>
    <t>Condizioni vegetative e/o fitosanitarie pessime. Albero compromesso ma abbattimento non urgente</t>
  </si>
  <si>
    <t>Albero morto in piedi</t>
  </si>
  <si>
    <t>FAG</t>
  </si>
  <si>
    <t xml:space="preserve">Albero integro </t>
  </si>
  <si>
    <t>Albero lievemente alterato nella struttura</t>
  </si>
  <si>
    <t>Albero strutturalmente alterato</t>
  </si>
  <si>
    <t>Albero fortemente alterato nella struttura</t>
  </si>
  <si>
    <t>Albero molto alterato strutturalmente</t>
  </si>
  <si>
    <t>Condizioni vegetative buone (limitazioni modeste)</t>
  </si>
  <si>
    <t>Condizioni fitosanitarie pessime</t>
  </si>
  <si>
    <t xml:space="preserve">Albero compromesso fisiologicamente </t>
  </si>
  <si>
    <t>Valore ornamentale teorico</t>
  </si>
  <si>
    <t>Valore ornamentale deprezzato</t>
  </si>
  <si>
    <t>dominante margine</t>
  </si>
  <si>
    <t>dominante interna</t>
  </si>
  <si>
    <t>storico-architettonico</t>
  </si>
  <si>
    <t>luoghi villeggiatura</t>
  </si>
  <si>
    <t>Casuarina spp. - casuarina</t>
  </si>
  <si>
    <t xml:space="preserve">  </t>
  </si>
  <si>
    <t>PER POPOLAMENTI</t>
  </si>
  <si>
    <t>PRESCRIZIONI COLTURALI PER POPOLAMENTI</t>
  </si>
  <si>
    <t>popolamento da sottoporre a interventi di trattamento selvicolturale.</t>
  </si>
  <si>
    <t xml:space="preserve">   </t>
  </si>
  <si>
    <t>STADIO DI SVILUPPO PALME</t>
  </si>
  <si>
    <t>STADIO DI SVILUPPO POP</t>
  </si>
  <si>
    <t>DIMORA POP</t>
  </si>
  <si>
    <t>CONDIZIONI FITOSANITARIE</t>
  </si>
  <si>
    <t>CONDIZIONI MORFO-STRUTTURALI</t>
  </si>
  <si>
    <t>CONDIZIONI VEGETATIVE</t>
  </si>
  <si>
    <t>CONDIZ. SALUTE E VIGORIA</t>
  </si>
  <si>
    <t>COEFFICIENTI EQUAZIONI VALORE ORNAMENTALE</t>
  </si>
  <si>
    <t>VALMAX</t>
  </si>
  <si>
    <t>VALORE ORNAMENTALE</t>
  </si>
  <si>
    <t>BERSAGLI</t>
  </si>
  <si>
    <t>aree rurali urbaniz.</t>
  </si>
  <si>
    <t>Ustulina deusta</t>
  </si>
  <si>
    <t>Tyromyces fissilis</t>
  </si>
  <si>
    <t>Betula nigra</t>
  </si>
  <si>
    <t>Betula papyrifera</t>
  </si>
  <si>
    <t>Brachychiton populneus</t>
  </si>
  <si>
    <t>Cercidiphyllum japonicum</t>
  </si>
  <si>
    <t>Chorisia speciosa</t>
  </si>
  <si>
    <t>Citrus aurantium</t>
  </si>
  <si>
    <t>Citrus reticulata </t>
  </si>
  <si>
    <t>Corylus colurna</t>
  </si>
  <si>
    <t>Diospyros virginiana</t>
  </si>
  <si>
    <t>Eucalyptus gunnii</t>
  </si>
  <si>
    <t>Ficus microcarpa</t>
  </si>
  <si>
    <t>Firmiana simplex</t>
  </si>
  <si>
    <t>Grevillea robusta</t>
  </si>
  <si>
    <t>Jacaranda mimosifolia</t>
  </si>
  <si>
    <t>Laburnum anagyroides</t>
  </si>
  <si>
    <t>Lagunaria patersonii</t>
  </si>
  <si>
    <t>Schinus molle</t>
  </si>
  <si>
    <t>Styphnolobium japonicum</t>
  </si>
  <si>
    <t>Ulmus maior</t>
  </si>
  <si>
    <t>Ulmus parvifolia</t>
  </si>
  <si>
    <t>Ulmus procera</t>
  </si>
  <si>
    <t>PREZZI DI MERCATO</t>
  </si>
  <si>
    <t>CO2</t>
  </si>
  <si>
    <t>riduzione F(salute)</t>
  </si>
  <si>
    <t>riduzione F(posizione sociale)</t>
  </si>
  <si>
    <t>Valore ecologico</t>
  </si>
  <si>
    <t>abbattimento</t>
  </si>
  <si>
    <t>ABE</t>
  </si>
  <si>
    <t>MIM</t>
  </si>
  <si>
    <t>ACE</t>
  </si>
  <si>
    <t>HIP</t>
  </si>
  <si>
    <t>AES</t>
  </si>
  <si>
    <t>AIL</t>
  </si>
  <si>
    <t>ALB</t>
  </si>
  <si>
    <t>ONT</t>
  </si>
  <si>
    <t>ARA</t>
  </si>
  <si>
    <t>ARB</t>
  </si>
  <si>
    <t>BAU</t>
  </si>
  <si>
    <t>BET</t>
  </si>
  <si>
    <t>BRA</t>
  </si>
  <si>
    <t>BIO</t>
  </si>
  <si>
    <t>BRO</t>
  </si>
  <si>
    <t>CAL</t>
  </si>
  <si>
    <t>CAB</t>
  </si>
  <si>
    <t>CAR</t>
  </si>
  <si>
    <t>CAS</t>
  </si>
  <si>
    <t>CAU</t>
  </si>
  <si>
    <t>CAT</t>
  </si>
  <si>
    <t>CED</t>
  </si>
  <si>
    <t>CEL</t>
  </si>
  <si>
    <t>CER</t>
  </si>
  <si>
    <t>CJA</t>
  </si>
  <si>
    <t>SIL</t>
  </si>
  <si>
    <t>LAW</t>
  </si>
  <si>
    <t>NOT</t>
  </si>
  <si>
    <t>CHO</t>
  </si>
  <si>
    <t>CAN</t>
  </si>
  <si>
    <t>CIT</t>
  </si>
  <si>
    <t>NOC</t>
  </si>
  <si>
    <t>CRY</t>
  </si>
  <si>
    <t>ARZ</t>
  </si>
  <si>
    <t>CIP</t>
  </si>
  <si>
    <t>CYD</t>
  </si>
  <si>
    <t>DIO</t>
  </si>
  <si>
    <t>ERY</t>
  </si>
  <si>
    <t>EUC</t>
  </si>
  <si>
    <t>FIC</t>
  </si>
  <si>
    <t>FIR</t>
  </si>
  <si>
    <t>FRA</t>
  </si>
  <si>
    <t>GIN</t>
  </si>
  <si>
    <t>GLE</t>
  </si>
  <si>
    <t>ILX</t>
  </si>
  <si>
    <t>GRE</t>
  </si>
  <si>
    <t>JAC</t>
  </si>
  <si>
    <t>KOE</t>
  </si>
  <si>
    <t>LAB</t>
  </si>
  <si>
    <t>LAP</t>
  </si>
  <si>
    <t>LAG</t>
  </si>
  <si>
    <t>LAR</t>
  </si>
  <si>
    <t>LAU</t>
  </si>
  <si>
    <t>LIG</t>
  </si>
  <si>
    <t>LIQ</t>
  </si>
  <si>
    <t>LIR</t>
  </si>
  <si>
    <t>MAC</t>
  </si>
  <si>
    <t>MAG</t>
  </si>
  <si>
    <t>MAL</t>
  </si>
  <si>
    <t>PHO</t>
  </si>
  <si>
    <t>SEQ</t>
  </si>
  <si>
    <t>SCH</t>
  </si>
  <si>
    <t>SOF</t>
  </si>
  <si>
    <t>SOR</t>
  </si>
  <si>
    <t>STY</t>
  </si>
  <si>
    <t>TAM</t>
  </si>
  <si>
    <t>TAX</t>
  </si>
  <si>
    <t>TAS</t>
  </si>
  <si>
    <t>THU</t>
  </si>
  <si>
    <t>TIG</t>
  </si>
  <si>
    <t>TRA</t>
  </si>
  <si>
    <t>TSU</t>
  </si>
  <si>
    <t>ULM</t>
  </si>
  <si>
    <t>WAS</t>
  </si>
  <si>
    <t>ZEL</t>
  </si>
  <si>
    <t>ZIZ</t>
  </si>
  <si>
    <t>CHA</t>
  </si>
  <si>
    <t>JUB</t>
  </si>
  <si>
    <t>NOTE</t>
  </si>
  <si>
    <t>Cupressocyparis leylandi</t>
  </si>
  <si>
    <t>Cedrus atlantica var. glauca - cedro dell'Atlante</t>
  </si>
  <si>
    <t>colletto azzampato</t>
  </si>
  <si>
    <t>fusto bi (tri)forcato</t>
  </si>
  <si>
    <t>inserzione debole</t>
  </si>
  <si>
    <t>1 bers</t>
  </si>
  <si>
    <t>+bers</t>
  </si>
  <si>
    <t>Yucca spp.</t>
  </si>
  <si>
    <t>Zelkova spp.</t>
  </si>
  <si>
    <t>età ind.</t>
  </si>
  <si>
    <t>riduzione profondità della chioma</t>
  </si>
  <si>
    <t>CO2 /anno</t>
  </si>
  <si>
    <t>O2/anno</t>
  </si>
  <si>
    <t>I/anno</t>
  </si>
  <si>
    <t>area di pertinenza</t>
  </si>
  <si>
    <t>Segni, sintomi e difetti significativi - Probabilità di cedimento nell'anno 1/50-1/500</t>
  </si>
  <si>
    <t>Segni, sintomi e difetti gravi - Probabilità di cedimento nell'anno 1/5-1/50</t>
  </si>
  <si>
    <t>Segni, sintomi e difetti gravissimi - Probabilità di cedimento nell'anno 1/1-1/5</t>
  </si>
  <si>
    <t>Segni, sintomi e difetti moderati - Probabilità di cedimento nell'anno 1/5K-1/50K</t>
  </si>
  <si>
    <t>Classe</t>
  </si>
  <si>
    <t>D br</t>
  </si>
  <si>
    <t>L br</t>
  </si>
  <si>
    <r>
      <t>H</t>
    </r>
    <r>
      <rPr>
        <b/>
        <sz val="9"/>
        <color theme="1"/>
        <rFont val="Calibri"/>
        <family val="2"/>
        <scheme val="minor"/>
      </rPr>
      <t xml:space="preserve"> </t>
    </r>
    <r>
      <rPr>
        <b/>
        <sz val="10"/>
        <color theme="1"/>
        <rFont val="Calibri"/>
        <family val="2"/>
        <scheme val="minor"/>
      </rPr>
      <t>bers</t>
    </r>
  </si>
  <si>
    <r>
      <t xml:space="preserve">CONFLITTI </t>
    </r>
    <r>
      <rPr>
        <b/>
        <sz val="8"/>
        <color theme="1"/>
        <rFont val="Calibri"/>
        <family val="2"/>
        <scheme val="minor"/>
      </rPr>
      <t>(max 4)</t>
    </r>
  </si>
  <si>
    <r>
      <t xml:space="preserve">Bio </t>
    </r>
    <r>
      <rPr>
        <sz val="8"/>
        <color theme="1"/>
        <rFont val="Calibri"/>
        <family val="2"/>
        <scheme val="minor"/>
      </rPr>
      <t>(kg)</t>
    </r>
  </si>
  <si>
    <r>
      <t>CO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(kg/anno)</t>
    </r>
  </si>
  <si>
    <r>
      <t>O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(kg/y)</t>
    </r>
  </si>
  <si>
    <r>
      <t xml:space="preserve">I.A. </t>
    </r>
    <r>
      <rPr>
        <sz val="8"/>
        <color theme="1"/>
        <rFont val="Calibri"/>
        <family val="2"/>
        <scheme val="minor"/>
      </rPr>
      <t>(kg/y)</t>
    </r>
  </si>
  <si>
    <t>rischio tollerabile - individuare interventi affinché rimanga ALARP</t>
  </si>
  <si>
    <t>Segni, sintomi e difetti trascurabili - Probabilità di cedimento nell'anno 1/500K-1/1M</t>
  </si>
  <si>
    <t>MITIGAZIONE BERSAGLIO</t>
  </si>
  <si>
    <t>non segni cariogeni</t>
  </si>
  <si>
    <t>non segni fitopatie</t>
  </si>
  <si>
    <t>&gt; soglia comunale</t>
  </si>
  <si>
    <t>asfalto</t>
  </si>
  <si>
    <t>carie non determin.</t>
  </si>
  <si>
    <t>patog. non determinati</t>
  </si>
  <si>
    <t>aree industriali</t>
  </si>
  <si>
    <t>Abies nebrodensis (Lojac.) Mattei - abete dei Nebrodi</t>
  </si>
  <si>
    <t>Condizioni fitosanitarie mediocri, limitanti efficienza. Salute e/o vigoria ridotte</t>
  </si>
  <si>
    <t>dichiaraz. di rilevanza</t>
  </si>
  <si>
    <t>Abies nordmanniana (S.) Spach - abete del Caucaso</t>
  </si>
  <si>
    <t>Condizioni fitosanitarie scadenti, che condizionano salute e aspettativa di vita</t>
  </si>
  <si>
    <t>Segni, sintomi e difetti bassi - Probabilità di cedimento nell'anno 1/50K-1/500k</t>
  </si>
  <si>
    <t>coerenza fitoclimatica</t>
  </si>
  <si>
    <t>Chondrostereum p.</t>
  </si>
  <si>
    <t>consigliato</t>
  </si>
  <si>
    <t>A: optimum</t>
  </si>
  <si>
    <t>B: elevata</t>
  </si>
  <si>
    <t>C: buona</t>
  </si>
  <si>
    <t>D: scadente</t>
  </si>
  <si>
    <t>Acer rubrum L. - acero scarlatto</t>
  </si>
  <si>
    <t>E: incoerente</t>
  </si>
  <si>
    <t>Acer saccharum Marsh. - acero del Canada</t>
  </si>
  <si>
    <t>Alnus glutinosa L. - ontano nero</t>
  </si>
  <si>
    <t>Condiz. vegetative pessime (conflitti non ammissibili con manufatti, alberi, ...)</t>
  </si>
  <si>
    <t>valutazione avanzata strumentale</t>
  </si>
  <si>
    <t>Araucaria bidwilli Hook. - araucaria</t>
  </si>
  <si>
    <t>Condizioni vegetative pessime (presenza di limitazioni intollerabili)</t>
  </si>
  <si>
    <t>Araucaria heterophylla (excelsa) - pino di Norfolk</t>
  </si>
  <si>
    <t>Araucaria cunninghamii Mudie  - araucaria</t>
  </si>
  <si>
    <t>Bauhinia purpurea L.</t>
  </si>
  <si>
    <t>Analisi radicale con scavo</t>
  </si>
  <si>
    <t>progettazione e realizzazione di consolidamento</t>
  </si>
  <si>
    <t>Cordia francisci</t>
  </si>
  <si>
    <t>COR</t>
  </si>
  <si>
    <t>ERJ</t>
  </si>
  <si>
    <t>Eucaliptus globulus - eucalipto</t>
  </si>
  <si>
    <t>Eucaliptus camaldulensis - eucalipto</t>
  </si>
  <si>
    <t>Ficus nitida</t>
  </si>
  <si>
    <t>Ficus elastica</t>
  </si>
  <si>
    <t>Ficus magnolioides</t>
  </si>
  <si>
    <t>Washingtonia robusta - washingtonia</t>
  </si>
  <si>
    <t>JUC</t>
  </si>
  <si>
    <t>agente cariogeno:</t>
  </si>
  <si>
    <t>fitopatia:</t>
  </si>
  <si>
    <t>IMPULSO (I)</t>
  </si>
  <si>
    <t>BERSAGLIO ALBERO (B)</t>
  </si>
  <si>
    <t>fusto</t>
  </si>
  <si>
    <t>ramificazione</t>
  </si>
  <si>
    <t xml:space="preserve">CAMPO LIBERO </t>
  </si>
  <si>
    <t>CAMPO LIBERO</t>
  </si>
  <si>
    <t>CARATTERI STAZIONE</t>
  </si>
  <si>
    <t>colletto a contrafforti</t>
  </si>
  <si>
    <t>ASPETTO COLLETTO</t>
  </si>
  <si>
    <t>fusto regolare</t>
  </si>
  <si>
    <t>ASPETTO FUSTO</t>
  </si>
  <si>
    <t>cast. con sbrancamento</t>
  </si>
  <si>
    <t>ASPETTO CASTELLO</t>
  </si>
  <si>
    <t>conforme all'habitus</t>
  </si>
  <si>
    <t>ASPETTO RAMIFICAZ.</t>
  </si>
  <si>
    <t>ASPETTO CHIOMA</t>
  </si>
  <si>
    <t>competizione radicale</t>
  </si>
  <si>
    <t>colletto a gradino</t>
  </si>
  <si>
    <t>castello a cespuglio</t>
  </si>
  <si>
    <t>fusto policormico</t>
  </si>
  <si>
    <t>castello a torrioni</t>
  </si>
  <si>
    <t>rami sinuosi/arcuati</t>
  </si>
  <si>
    <t>colletto a palafitta</t>
  </si>
  <si>
    <t>fusto asimmetrico</t>
  </si>
  <si>
    <t>castello allargato</t>
  </si>
  <si>
    <t>colletto asimmetrico</t>
  </si>
  <si>
    <t>fusto costolato</t>
  </si>
  <si>
    <t>castello assente</t>
  </si>
  <si>
    <t>rottura suolo (fessure)</t>
  </si>
  <si>
    <t>fusto sciabolato</t>
  </si>
  <si>
    <t>castello regolare</t>
  </si>
  <si>
    <t>scavi o trincee</t>
  </si>
  <si>
    <t>colletto cilindrico</t>
  </si>
  <si>
    <t>CARATTERI RAMIFICAZ</t>
  </si>
  <si>
    <t>colletto cordonato</t>
  </si>
  <si>
    <t>colletto normale</t>
  </si>
  <si>
    <t>CARATTERI FUSTO</t>
  </si>
  <si>
    <t>CARATTERI CASTELLO</t>
  </si>
  <si>
    <t>platea radicale</t>
  </si>
  <si>
    <t>CARATTERI ZOLLA</t>
  </si>
  <si>
    <t>colletto ovalizzato</t>
  </si>
  <si>
    <t>carico in punta</t>
  </si>
  <si>
    <t>corna di ariete</t>
  </si>
  <si>
    <t>chioma ridotta</t>
  </si>
  <si>
    <t>cordoni xilematici</t>
  </si>
  <si>
    <t>cucitura</t>
  </si>
  <si>
    <t>sprofondamento zolla</t>
  </si>
  <si>
    <t>reiterati ageotropi</t>
  </si>
  <si>
    <t>disseccamenti branche</t>
  </si>
  <si>
    <t>assenza leader</t>
  </si>
  <si>
    <t>DIFETTI CHIOMA</t>
  </si>
  <si>
    <t>zolla asimmetrica</t>
  </si>
  <si>
    <t>CARATTERI COLLETTO</t>
  </si>
  <si>
    <t>inclinaz. Arcuatura</t>
  </si>
  <si>
    <t>reiterati ortotropi</t>
  </si>
  <si>
    <t>disseccamenti rami</t>
  </si>
  <si>
    <t>inclinaz. Sciabolatura</t>
  </si>
  <si>
    <t>reiterati plagiotropi</t>
  </si>
  <si>
    <t>disseccamenti ramuli</t>
  </si>
  <si>
    <t>zolla limitata / ridotta</t>
  </si>
  <si>
    <t>cordoni non più attivi</t>
  </si>
  <si>
    <t>inclinazione lineare</t>
  </si>
  <si>
    <t>zolla/suolo separati</t>
  </si>
  <si>
    <t>spiralizzazione fibre</t>
  </si>
  <si>
    <t>fusticini epicormici</t>
  </si>
  <si>
    <t>Getti epicormici</t>
  </si>
  <si>
    <t>ponte xilematico su cretto</t>
  </si>
  <si>
    <t>pali su branche</t>
  </si>
  <si>
    <t>CARATTERI RADICI</t>
  </si>
  <si>
    <t>piatto morfologico</t>
  </si>
  <si>
    <t>colonne xilematiche</t>
  </si>
  <si>
    <t>pali su fusto</t>
  </si>
  <si>
    <t>polloni radicali</t>
  </si>
  <si>
    <t>LCR  ridotto</t>
  </si>
  <si>
    <t>noduli in superficie</t>
  </si>
  <si>
    <t>DIFETTI CASTELLO</t>
  </si>
  <si>
    <t>pipe</t>
  </si>
  <si>
    <t>apertura</t>
  </si>
  <si>
    <t>conflitto sostituti (false cime)</t>
  </si>
  <si>
    <t>nido di cicogna</t>
  </si>
  <si>
    <t>sinuosità</t>
  </si>
  <si>
    <t>DIFETTI FOGLIE</t>
  </si>
  <si>
    <t xml:space="preserve">carie </t>
  </si>
  <si>
    <t>ricacci</t>
  </si>
  <si>
    <t>radici migranti</t>
  </si>
  <si>
    <t>sostituti</t>
  </si>
  <si>
    <t>galle</t>
  </si>
  <si>
    <t>radici non visibili</t>
  </si>
  <si>
    <t>DIFETTI COLLETTO</t>
  </si>
  <si>
    <t>DIFETTI FUSTO</t>
  </si>
  <si>
    <t>insetti o loro nidi</t>
  </si>
  <si>
    <t>NON GIUDICABILE</t>
  </si>
  <si>
    <t>DIFETTI RAMIFICAZ.</t>
  </si>
  <si>
    <t>carie/marciume radicale</t>
  </si>
  <si>
    <t>DIFETTI RADICALI</t>
  </si>
  <si>
    <t>ferite aperte</t>
  </si>
  <si>
    <t>ferite radiali</t>
  </si>
  <si>
    <t>ferite richiuse</t>
  </si>
  <si>
    <t>essudati/resinaz</t>
  </si>
  <si>
    <t>cavità a bicchiere</t>
  </si>
  <si>
    <t>Inclusione/contatto</t>
  </si>
  <si>
    <t>legno da ferita attivo</t>
  </si>
  <si>
    <t>delaminazione (t. sventura)</t>
  </si>
  <si>
    <t>resinaz/essudati</t>
  </si>
  <si>
    <t>DIFETTI BIO</t>
  </si>
  <si>
    <t>batteriosi</t>
  </si>
  <si>
    <t>subsidenza</t>
  </si>
  <si>
    <t>sbusidenza</t>
  </si>
  <si>
    <t>s</t>
  </si>
  <si>
    <t>ms</t>
  </si>
  <si>
    <t>E' possibile inserire altre tipologie di difetto digitando nella cella</t>
  </si>
  <si>
    <t>Liriodendron tulipifera - albero dei tulipani</t>
  </si>
  <si>
    <t>Maclura pomifera - maclura</t>
  </si>
  <si>
    <t>324</t>
  </si>
  <si>
    <t>325</t>
  </si>
  <si>
    <t>Magnolia grandiflora - magnolia</t>
  </si>
  <si>
    <t>326</t>
  </si>
  <si>
    <t>327</t>
  </si>
  <si>
    <t>331</t>
  </si>
  <si>
    <t>Magnolia x soulangeana - magnolia</t>
  </si>
  <si>
    <t>332</t>
  </si>
  <si>
    <t>333</t>
  </si>
  <si>
    <t>Malus sylvestris - melo</t>
  </si>
  <si>
    <t>334</t>
  </si>
  <si>
    <t>Melia azedarach - albero dei rosari</t>
  </si>
  <si>
    <t>MEL</t>
  </si>
  <si>
    <t>335</t>
  </si>
  <si>
    <t>Mespilus germanica - nespolo</t>
  </si>
  <si>
    <t>MES</t>
  </si>
  <si>
    <t>336</t>
  </si>
  <si>
    <t>Metasequoia glyptostroboides - metasequoia</t>
  </si>
  <si>
    <t>MET</t>
  </si>
  <si>
    <t>337</t>
  </si>
  <si>
    <t>Morus alba - gelso bianco</t>
  </si>
  <si>
    <t>GEL</t>
  </si>
  <si>
    <t>341</t>
  </si>
  <si>
    <t>Morus nigra - gelso nero</t>
  </si>
  <si>
    <t>342</t>
  </si>
  <si>
    <t>Musa paradisiaca - banano</t>
  </si>
  <si>
    <t>BAN</t>
  </si>
  <si>
    <t>343</t>
  </si>
  <si>
    <t>Nerium oleander - oleandro</t>
  </si>
  <si>
    <t>NER</t>
  </si>
  <si>
    <t>344</t>
  </si>
  <si>
    <t>Nyssa sylvatica</t>
  </si>
  <si>
    <t>NYS</t>
  </si>
  <si>
    <t>345</t>
  </si>
  <si>
    <t>Olea europea - olivo</t>
  </si>
  <si>
    <t>OLI</t>
  </si>
  <si>
    <t>346</t>
  </si>
  <si>
    <t>Ostrya carpinifolia - carpino nero</t>
  </si>
  <si>
    <t>OST</t>
  </si>
  <si>
    <t>347</t>
  </si>
  <si>
    <t>Parrotia persica - parrozia</t>
  </si>
  <si>
    <t>PAR</t>
  </si>
  <si>
    <t>351</t>
  </si>
  <si>
    <t>Paulownia tomentosa - paulownia</t>
  </si>
  <si>
    <t>PAU</t>
  </si>
  <si>
    <t>352</t>
  </si>
  <si>
    <t>Phillirea latifolia - fillirea</t>
  </si>
  <si>
    <t>PHI</t>
  </si>
  <si>
    <t>353</t>
  </si>
  <si>
    <t>Phellodendron amurense</t>
  </si>
  <si>
    <t>PHE</t>
  </si>
  <si>
    <t>354</t>
  </si>
  <si>
    <t>Phoenix canariensis - palma delle Canarie</t>
  </si>
  <si>
    <t>355</t>
  </si>
  <si>
    <t>Phoenix dactylifera - palma da datteri</t>
  </si>
  <si>
    <t>356</t>
  </si>
  <si>
    <t>Phytolacca dioica - fitolacca</t>
  </si>
  <si>
    <t>PHY</t>
  </si>
  <si>
    <t>357</t>
  </si>
  <si>
    <t>Picea abies - abete rosso</t>
  </si>
  <si>
    <t>PIC</t>
  </si>
  <si>
    <t>361</t>
  </si>
  <si>
    <t>Picea pungens - abete del Colorado</t>
  </si>
  <si>
    <t>362</t>
  </si>
  <si>
    <t>Pinus brutia - pino calabrese</t>
  </si>
  <si>
    <t>PIN</t>
  </si>
  <si>
    <t>363</t>
  </si>
  <si>
    <t>Pinus canariensis - pino delle Canarie</t>
  </si>
  <si>
    <t>364</t>
  </si>
  <si>
    <t>Pinus cembra - pino cembro</t>
  </si>
  <si>
    <t>365</t>
  </si>
  <si>
    <t>Pinus halepensis - pino d'Aleppo</t>
  </si>
  <si>
    <t>HAL</t>
  </si>
  <si>
    <t>366</t>
  </si>
  <si>
    <t>Pinus mugo - pino montano</t>
  </si>
  <si>
    <t>367</t>
  </si>
  <si>
    <t>Pinus nigra - pino nero</t>
  </si>
  <si>
    <t>NIG</t>
  </si>
  <si>
    <t>371</t>
  </si>
  <si>
    <t>Pinus pinaster - pino marittimo</t>
  </si>
  <si>
    <t>372</t>
  </si>
  <si>
    <t>Pinus pinea - pino domestico</t>
  </si>
  <si>
    <t>PPI</t>
  </si>
  <si>
    <t>373</t>
  </si>
  <si>
    <t>Pinus ponderosa - pino giallo dell'ovest</t>
  </si>
  <si>
    <t>374</t>
  </si>
  <si>
    <t>Pinus radiata - pino insigne</t>
  </si>
  <si>
    <t>375</t>
  </si>
  <si>
    <t>Pinus strobus - pino strobo</t>
  </si>
  <si>
    <t>376</t>
  </si>
  <si>
    <t>Pinus sylvestris - pino silvestre</t>
  </si>
  <si>
    <t>SYL</t>
  </si>
  <si>
    <t>377</t>
  </si>
  <si>
    <t>Pinus uncinata - pino uncinato</t>
  </si>
  <si>
    <t>411</t>
  </si>
  <si>
    <t>Pinus wallichiana - pino dell'Himalaia</t>
  </si>
  <si>
    <t>412</t>
  </si>
  <si>
    <t>Pistacia terebinthus - terebinto</t>
  </si>
  <si>
    <t>PIS</t>
  </si>
  <si>
    <t>413</t>
  </si>
  <si>
    <t>Platanus occidentalis - platano comune</t>
  </si>
  <si>
    <t>PLA</t>
  </si>
  <si>
    <t>414</t>
  </si>
  <si>
    <t>Platanus orientalis - platano orientale</t>
  </si>
  <si>
    <t>415</t>
  </si>
  <si>
    <t>Platanus x acerifolia - platano ibrido</t>
  </si>
  <si>
    <t>416</t>
  </si>
  <si>
    <t>Platycladus orientalis</t>
  </si>
  <si>
    <t>PLO</t>
  </si>
  <si>
    <t>417</t>
  </si>
  <si>
    <t>Populus alba - pioppo bianco</t>
  </si>
  <si>
    <t>POP</t>
  </si>
  <si>
    <t>421</t>
  </si>
  <si>
    <t>Populus canescens - pioppo gatterino</t>
  </si>
  <si>
    <t>422</t>
  </si>
  <si>
    <t>Populus nigra - pioppo nero</t>
  </si>
  <si>
    <t>423</t>
  </si>
  <si>
    <t>Populus nigra var. italica - pioppo cipressino</t>
  </si>
  <si>
    <t>424</t>
  </si>
  <si>
    <t>Populus spp. - pioppo</t>
  </si>
  <si>
    <t>425</t>
  </si>
  <si>
    <t>Populus tremula - pioppo tremolo</t>
  </si>
  <si>
    <t>426</t>
  </si>
  <si>
    <t>Prunus amygdalus - mandorlo</t>
  </si>
  <si>
    <t>PRU</t>
  </si>
  <si>
    <t>427</t>
  </si>
  <si>
    <t>Prunus armeniaca - albicocco</t>
  </si>
  <si>
    <t>431</t>
  </si>
  <si>
    <t>Prunus avium - ciliegio</t>
  </si>
  <si>
    <t>432</t>
  </si>
  <si>
    <t>Prunus  - mirabolano</t>
  </si>
  <si>
    <t>433</t>
  </si>
  <si>
    <t>Prunus domestica - susino</t>
  </si>
  <si>
    <t>434</t>
  </si>
  <si>
    <t>Prunus glandulosa - mandorlo da fiore</t>
  </si>
  <si>
    <t>435</t>
  </si>
  <si>
    <t>Prunus laurocerasus L. - lauroceraso</t>
  </si>
  <si>
    <t>436</t>
  </si>
  <si>
    <t>Prunus pissardi</t>
  </si>
  <si>
    <t>437</t>
  </si>
  <si>
    <t>Prunus serrulata</t>
  </si>
  <si>
    <t>441</t>
  </si>
  <si>
    <t>Prunus subhirtella</t>
  </si>
  <si>
    <t>442</t>
  </si>
  <si>
    <t>Pseudotsuga menziesii - abete di Douglas</t>
  </si>
  <si>
    <t>DOU</t>
  </si>
  <si>
    <t>443</t>
  </si>
  <si>
    <t>Ptelea trifoliata - olmo di Samaria</t>
  </si>
  <si>
    <t>PTE</t>
  </si>
  <si>
    <t>444</t>
  </si>
  <si>
    <t>Pterocarya fraxinifolia - noce del Caucaso</t>
  </si>
  <si>
    <t>PTF</t>
  </si>
  <si>
    <t>445</t>
  </si>
  <si>
    <t>Pyrus calleriana</t>
  </si>
  <si>
    <t>PYR</t>
  </si>
  <si>
    <t>446</t>
  </si>
  <si>
    <t>Pyrus pyraster - pero selvatico</t>
  </si>
  <si>
    <t>447</t>
  </si>
  <si>
    <t>Quercus cerris - cerro</t>
  </si>
  <si>
    <t>451</t>
  </si>
  <si>
    <t>Quercus frainetto - farnetto</t>
  </si>
  <si>
    <t>452</t>
  </si>
  <si>
    <t>Quercus ilex - leccio</t>
  </si>
  <si>
    <t>LEC</t>
  </si>
  <si>
    <t>453</t>
  </si>
  <si>
    <t>Quercus palustris - quercia delle paludi</t>
  </si>
  <si>
    <t>QUE</t>
  </si>
  <si>
    <t>454</t>
  </si>
  <si>
    <t>Quercus petraea - rovere</t>
  </si>
  <si>
    <t>ROV</t>
  </si>
  <si>
    <t>455</t>
  </si>
  <si>
    <t>Quercus pubescens - roverella</t>
  </si>
  <si>
    <t>PUB</t>
  </si>
  <si>
    <t>456</t>
  </si>
  <si>
    <t>Quercus robur - farnia</t>
  </si>
  <si>
    <t>FAR</t>
  </si>
  <si>
    <t>457</t>
  </si>
  <si>
    <t>Quercus rubra - quercia rossa</t>
  </si>
  <si>
    <t>461</t>
  </si>
  <si>
    <t>Quercus suber - sughera</t>
  </si>
  <si>
    <t>SUG</t>
  </si>
  <si>
    <t>462</t>
  </si>
  <si>
    <t>Quercus trojana</t>
  </si>
  <si>
    <t>QTR</t>
  </si>
  <si>
    <t>463</t>
  </si>
  <si>
    <t>Rhamnus alaternus - alaterno</t>
  </si>
  <si>
    <t>RHA</t>
  </si>
  <si>
    <t>464</t>
  </si>
  <si>
    <t>Rhus typhina - sommaco</t>
  </si>
  <si>
    <t>RHU</t>
  </si>
  <si>
    <t>465</t>
  </si>
  <si>
    <t>Robinia pseudoacacia - robinia</t>
  </si>
  <si>
    <t>ROB</t>
  </si>
  <si>
    <t>Salix alba - salice bianco</t>
  </si>
  <si>
    <t>SAL</t>
  </si>
  <si>
    <t>Salix babylonica  salice piangente</t>
  </si>
  <si>
    <t>Salix caprea - salicone</t>
  </si>
  <si>
    <t>Salix daphnoides - salice nero</t>
  </si>
  <si>
    <t>Salix spp. - salice</t>
  </si>
  <si>
    <t>Sequoia sempervirens - sequoia</t>
  </si>
  <si>
    <t>Sophora japonica - sofora</t>
  </si>
  <si>
    <t>Sorbus aria - sorbo montano</t>
  </si>
  <si>
    <t>Sorbus aucaparia - sorbo degli uccellatori</t>
  </si>
  <si>
    <t>Sorbus domestica - sorbo domestico</t>
  </si>
  <si>
    <t>Sorbus torminalis - ciavardello</t>
  </si>
  <si>
    <t>Tamarix gallica - tamerice</t>
  </si>
  <si>
    <t>Taxodium disticum - cipresso calvo</t>
  </si>
  <si>
    <t>Taxus baccata - tasso</t>
  </si>
  <si>
    <t>Thuja occidentalis - tuia</t>
  </si>
  <si>
    <t>Thuja orientalis - albero della vita</t>
  </si>
  <si>
    <t>Thuja plicata  - tuia gigante</t>
  </si>
  <si>
    <t>Tilia cordata - tiglio selvatico</t>
  </si>
  <si>
    <t>Tilia platyphyllos - tiglio nostrano</t>
  </si>
  <si>
    <t>Tilia x europaea - tiglio ibrido</t>
  </si>
  <si>
    <t>Tilia x vulgaris - tiglio ibrido</t>
  </si>
  <si>
    <t>Trachycarpus fortunei - trachycarpus</t>
  </si>
  <si>
    <t>Tsuga canadensis - tsuga canadese</t>
  </si>
  <si>
    <t>Washingtonia filifera - washingtonia</t>
  </si>
  <si>
    <t>Zelkova carpinifolia - zelkova</t>
  </si>
  <si>
    <t>Ziziphus jujuba - giuggiolo comune</t>
  </si>
  <si>
    <t>PALME</t>
  </si>
  <si>
    <t>INTERVENTI COLTURALI</t>
  </si>
  <si>
    <t>GRADO DI PERICOLO (P) - PROBABILITA' DI CEDIMENTO</t>
  </si>
  <si>
    <t>PRESCRIZIONI INDICATIVE ED EVENTUALI PRESCRIZIONI URGENTI</t>
  </si>
  <si>
    <r>
      <t xml:space="preserve">CONFLITTI </t>
    </r>
    <r>
      <rPr>
        <b/>
        <sz val="8"/>
        <color theme="1"/>
        <rFont val="Calibri"/>
        <family val="2"/>
        <scheme val="minor"/>
      </rPr>
      <t>(max 2)</t>
    </r>
  </si>
  <si>
    <t>TRIAGE DEL RISCHIO (R)</t>
  </si>
  <si>
    <t>DATI GENERALI</t>
  </si>
  <si>
    <t>DIAGNOSI</t>
  </si>
  <si>
    <t>CASTELLO</t>
  </si>
  <si>
    <t>FUSTO</t>
  </si>
  <si>
    <t>BRANCHE E RAMI</t>
  </si>
  <si>
    <t>ZOLLA RADICALE</t>
  </si>
  <si>
    <t>BRANCHE / RAMI</t>
  </si>
  <si>
    <t>TRONCO / CASTELLO</t>
  </si>
  <si>
    <t>PERICOLO</t>
  </si>
  <si>
    <t>PERICOLO POST INT.</t>
  </si>
  <si>
    <t>VALUTAZIONE BERSAGLIO E IMPULSO</t>
  </si>
  <si>
    <t>ROTTURA BRANCA/RAMI</t>
  </si>
  <si>
    <t>ROTTURA TRONCO/CASTELLO</t>
  </si>
  <si>
    <t>ROTTURA COLLETTO</t>
  </si>
  <si>
    <t>RIB/SCIV ZOLLA RADICALE</t>
  </si>
  <si>
    <r>
      <t xml:space="preserve">Modifiche dimensionali della chioma o ramo per il calcolo del rischio residuo </t>
    </r>
    <r>
      <rPr>
        <b/>
        <i/>
        <sz val="9"/>
        <color theme="1"/>
        <rFont val="Calibri"/>
        <family val="2"/>
        <scheme val="minor"/>
      </rPr>
      <t>(inserire solo se modificate a seguito di prescrizioni colturali)</t>
    </r>
  </si>
  <si>
    <t>BERSAGLIO RAMI (B)</t>
  </si>
  <si>
    <t>D ch</t>
  </si>
  <si>
    <t>TRIAGE</t>
  </si>
  <si>
    <t>X (B)</t>
  </si>
  <si>
    <t>MOLTIPLICATORE</t>
  </si>
  <si>
    <t>Con inerti</t>
  </si>
  <si>
    <t>Compilare le celle in bianco</t>
  </si>
  <si>
    <t>CONDIZIONI DI SALUTE E VIGORIA</t>
  </si>
  <si>
    <t xml:space="preserve">Condizioni vegetative e fitosanitarie ottimali. Albero integro </t>
  </si>
  <si>
    <t>Condizioni vegetative e/o fitosanitarie ottimali. Albero lievemente alterato nella struttura</t>
  </si>
  <si>
    <t>Condizioni vegetative e/o fitosanitarie buone o comunque non tali da condizionare la salute e la vigoria</t>
  </si>
  <si>
    <t>Condizioni vegetative e/o fitosanitarie buone o comunque non tali da condizionare la salute e la vigoria. Albero strutturalmente alterato</t>
  </si>
  <si>
    <t>Condizioni vegetative e/o fitosanitarie mediocri, che limitano l'efficienza funzionale. Salute e/o vigoria ridotte</t>
  </si>
  <si>
    <t>Condizioni vegetative e/o fitosanitarie mediocri. Albero strutturalmente alterato</t>
  </si>
  <si>
    <t>Condizioni vegetative e/o fitosanitarie scadenti, che ne condizionano la salute e l'aspettativa di vita</t>
  </si>
  <si>
    <t>Condizioni vegetative e/o fitosanitarie scadenti. Albero molto alterato strutturalmente</t>
  </si>
  <si>
    <t>Condizioni vegetative e/o fitosanitarie pessime</t>
  </si>
  <si>
    <t>Condizioni vegetative e/o fitosanitarie pessime. Albero fortemente deperiente, strutturalmente molto alterato</t>
  </si>
  <si>
    <t>RISCHIO RESIDUO (R)</t>
  </si>
  <si>
    <t>RISCHIO (R)</t>
  </si>
  <si>
    <t>URG/MONIT</t>
  </si>
  <si>
    <t>ps</t>
  </si>
  <si>
    <t>Rimozione /riduzione ramificazioni compromesse</t>
  </si>
  <si>
    <t>Celtis occidentalis L. - bagolaro occidentale</t>
  </si>
  <si>
    <t>INDICAZIONI DI COMPILAZIONE:</t>
  </si>
  <si>
    <t>Hesperocyparis glabra Bartel - cip.dell'Ariz. glabro</t>
  </si>
  <si>
    <t>HES</t>
  </si>
  <si>
    <t>Brachychiton acerifolius</t>
  </si>
  <si>
    <t>Brachychiton sp.</t>
  </si>
  <si>
    <t>Erythrina sp. (E. christa-galli, ecc.)</t>
  </si>
  <si>
    <t xml:space="preserve">E' possibile inserire altre fitopatie e agenti cariogeni inserendole nelle celle gialle nel foglio A </t>
  </si>
  <si>
    <t>arieggiamento del terreno /decompattamento</t>
  </si>
  <si>
    <t>Riferimento Menù Bersaglio</t>
  </si>
  <si>
    <t>classe</t>
  </si>
  <si>
    <t>Tipo di Bersaglio</t>
  </si>
  <si>
    <t>RAMO ATTUALE</t>
  </si>
  <si>
    <t>CHIOMA ATTUALE</t>
  </si>
  <si>
    <t>CHIOMA RESIDO</t>
  </si>
  <si>
    <t>RAMO RESIDUO</t>
  </si>
  <si>
    <t>VALUTAZIONE BERSAGLIO E IMPULSO - PRE INTERVENTO</t>
  </si>
  <si>
    <t>VALUTAZIONE BERSAGLIO E IMPULSO - POST INTERVENTO</t>
  </si>
  <si>
    <t>CALCOLO RISCHIO ATTUALE</t>
  </si>
  <si>
    <t>CALCOLO RISCHIO RESIDUO</t>
  </si>
  <si>
    <t>Le caratteristiche anatomiche, i difetti e i sintomi in elenco sono indicativi. Il professionista resta responsabile del loro utilizzo o delle modifiche apportate.</t>
  </si>
  <si>
    <t>Se successivamente all'inserimento del Bersaglio si modificano le dimensioni della chioma riselezionare la classe di Bersaglio</t>
  </si>
  <si>
    <t xml:space="preserve">E' possibile aggiungere altre specie inserendole nelle celle gialle nel foglio A </t>
  </si>
  <si>
    <t>E' possibile aggiungere altre tipologie di prescrizione inserendole nelle celle gialle nel foglio A o digitando direttamente nella cella</t>
  </si>
  <si>
    <t>Attenzione: i dati dendrometrici "post - intervento" sono di default collegati a quelli immessi nei dati generali (riga 9).</t>
  </si>
  <si>
    <t>In caso di modifica dei dati "post-intervento" il collegamento (e quindi la compilazione automatica) verrò cancellato. Si consiglia di conservare sempre una copia della scheda originale.</t>
  </si>
  <si>
    <t>Se successivamente all'inserimento del target Bersaglio si modificano le dimensioni della chioma da prescrizioni riselezionare la classe di target</t>
  </si>
  <si>
    <t>COER. FITO-clim/geo</t>
  </si>
  <si>
    <t>FOGLIO PROTETTO: LE CELLE EVIDENZIATE IN GIALLO SONO MODIFICABILI PER L'AGGIUNTA DI NUOVI RECORD NEGLI ELENCHI A DISCESA DELLE SCHEDE</t>
  </si>
  <si>
    <t>1A) potatura di formazione in alberi giovani (in conformità con EAS)</t>
  </si>
  <si>
    <t>1D) impostazione della forma obbligata su alberi giovani (in conformità con EAS)</t>
  </si>
  <si>
    <t>2A) potatura di mantenimento in alberi adulti (in conformità con EAS)</t>
  </si>
  <si>
    <t>2B) riduzione laterale in alberi adulti  (in conformità con EAS)</t>
  </si>
  <si>
    <t>2C) potatura di mantenimento della  forma condizionata in alberi adulti   (in conformità con EAS)</t>
  </si>
  <si>
    <t>2D) potatura di mantenimento della forma obbligata in alberi adulti  (in conformità con EAS)</t>
  </si>
  <si>
    <t>3A) potatura di mantenimento in alberi maturi (in conformità con EAS)</t>
  </si>
  <si>
    <t>3B) riduzione laterale in alberi maturi (in conformità con EAS)</t>
  </si>
  <si>
    <t>3C) riduzione in altezza in alberi maturi (in conformità con EAS)</t>
  </si>
  <si>
    <t>4) potatura di alberi veterani  (in conformità con EAS)</t>
  </si>
  <si>
    <t>5) restauro della forma naturaliforme  (in conformità con EAS)</t>
  </si>
  <si>
    <t>6) restauro di forma artificiale (in conformità con EAS)</t>
  </si>
  <si>
    <t>7) rimonda del seccume (in conformità con EAS)</t>
  </si>
  <si>
    <t>8) potatura di stabilizzazione o pre-abbattimento (in conformità con EAS)</t>
  </si>
  <si>
    <t>Triage</t>
  </si>
  <si>
    <t>Triage per popolamento</t>
  </si>
  <si>
    <t>NUMERO PERSONE PER AUTO</t>
  </si>
  <si>
    <t>Valore complessivo</t>
  </si>
  <si>
    <t>giovane pianta</t>
  </si>
  <si>
    <t>albero giovane</t>
  </si>
  <si>
    <t>albero maturo</t>
  </si>
  <si>
    <t>TRIAGE PER POPOLAMENTI E SINGOLI ALBERI</t>
  </si>
  <si>
    <t>RISCHIO PER L'ORDINARIA</t>
  </si>
  <si>
    <t>Risoluzione dell’emergenza</t>
  </si>
  <si>
    <t>Valutazione urgente</t>
  </si>
  <si>
    <t>Valutazione opportuna entro breve tempo</t>
  </si>
  <si>
    <t>Valutazione opportuna ma non urgente</t>
  </si>
  <si>
    <t>Valutazione procrastinabile</t>
  </si>
  <si>
    <t>INTERVENTO TRIAGE</t>
  </si>
  <si>
    <t>EMERGENZA - Risoluzione dell'emergenza</t>
  </si>
  <si>
    <t>URGENZA - Valutazione urgente</t>
  </si>
  <si>
    <t>MODERATA - valutazione opportuna entro breve tempo</t>
  </si>
  <si>
    <t>BASSA - valutazione opportuna ma non urgente</t>
  </si>
  <si>
    <t>DIFFERIBILE - valutazione procrastinabile</t>
  </si>
  <si>
    <t>Valutazione immediata - risoluzione dell’emergenza</t>
  </si>
  <si>
    <t>EMERGENZA - Valutazione immediata - risoluzione dell’emergenza</t>
  </si>
  <si>
    <t>GRADO DI PERICOLO PERCEPITO (P)</t>
  </si>
  <si>
    <t>Segni sintomi e difetti molto gravi, connessi strettamente con un possibile cedimento immediato</t>
  </si>
  <si>
    <t>Segni sintomi e difetti gravi, connessi strettamente con un possibile cedimento imminente</t>
  </si>
  <si>
    <t>Segni sintomi e difetti incerti, connessi occasionalmente con un possibile cedimento</t>
  </si>
  <si>
    <t>Segni sintomi e difetti moderati, non chiaramente connessi con un possibile cedimento</t>
  </si>
  <si>
    <t>Segni sintomi e difetti modesti, non connessi con un possibile cedimento</t>
  </si>
  <si>
    <t>Segni sintomi e difetti trascurabili o sostanzialmente assenti</t>
  </si>
  <si>
    <t>DESCRITTORE PER TRIAGE</t>
  </si>
  <si>
    <t>Segni sintomi e difetti significativi, connessi strett. con un possibile cedimento in cond. critiche</t>
  </si>
  <si>
    <t>TEMPO DI PERCORRENZA (s)</t>
  </si>
  <si>
    <t>TEMPO di PERCORRENZA</t>
  </si>
  <si>
    <t>TEMPO di PERCORRENZA in FRENATA</t>
  </si>
  <si>
    <t>chioma sana</t>
  </si>
  <si>
    <t>chioma resiliente</t>
  </si>
  <si>
    <t>chioma stressata</t>
  </si>
  <si>
    <t>ripiegamento della chioma</t>
  </si>
  <si>
    <r>
      <rPr>
        <b/>
        <i/>
        <sz val="11"/>
        <color theme="1"/>
        <rFont val="Calibri"/>
        <family val="2"/>
        <scheme val="minor"/>
      </rPr>
      <t>Scheda di rilevamento per la Valutazione del Rischio Arboreo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VALUTAZIONE del RISCHIO ORDINARIA</t>
    </r>
  </si>
  <si>
    <r>
      <rPr>
        <b/>
        <i/>
        <sz val="11"/>
        <color theme="1"/>
        <rFont val="Calibri"/>
        <family val="2"/>
        <scheme val="minor"/>
      </rPr>
      <t>Scheda di rilevamento per la Valutazione del Rischio Arboreo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TRIAGE - S (singolo albero)</t>
    </r>
  </si>
  <si>
    <r>
      <rPr>
        <b/>
        <i/>
        <sz val="11"/>
        <color theme="1"/>
        <rFont val="Calibri"/>
        <family val="2"/>
        <scheme val="minor"/>
      </rPr>
      <t>Scheda di rilevamento per la Valutazione del Rischio Arboreo</t>
    </r>
    <r>
      <rPr>
        <b/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TRIAGE - P (popolamenti arborei)</t>
    </r>
  </si>
  <si>
    <t>demo ver.2.0</t>
  </si>
  <si>
    <t>VERSIONE 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</si>
</sst>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164" formatCode="0.000000"/>
    <numFmt numFmtId="165" formatCode="0.0"/>
    <numFmt numFmtId="166" formatCode="0.000"/>
    <numFmt numFmtId="167" formatCode="0.0000000"/>
    <numFmt numFmtId="168" formatCode="0.0000"/>
    <numFmt numFmtId="169" formatCode="0.00000"/>
    <numFmt numFmtId="170" formatCode="#,##0.0"/>
    <numFmt numFmtId="171" formatCode="&quot;€&quot;\ #,##0.00"/>
    <numFmt numFmtId="172" formatCode="&quot;€&quot;\ #,##0"/>
    <numFmt numFmtId="174" formatCode="_-* #,##0\ &quot;€&quot;_-;\-* #,##0\ &quot;€&quot;_-;_-* &quot;-&quot;??\ &quot;€&quot;_-;_-@_-"/>
  </numFmts>
  <fonts count="5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b/>
      <i/>
      <sz val="11"/>
      <name val="Arial"/>
      <family val="2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2"/>
      <color theme="1"/>
      <name val="Calibri"/>
      <family val="2"/>
      <scheme val="minor"/>
    </font>
    <font>
      <sz val="1"/>
      <color theme="1"/>
      <name val="Calibri"/>
      <family val="2"/>
      <scheme val="minor"/>
    </font>
    <font>
      <b/>
      <sz val="12"/>
      <color indexed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8"/>
      <color indexed="81"/>
      <name val="Tahoma"/>
      <family val="2"/>
    </font>
    <font>
      <b/>
      <i/>
      <sz val="9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9"/>
      <color indexed="8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rgb="FF007033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9"/>
      <color indexed="81"/>
      <name val="Tahoma"/>
      <family val="2"/>
    </font>
    <font>
      <i/>
      <sz val="12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b/>
      <i/>
      <sz val="8"/>
      <color rgb="FF0C9344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rgb="FFD600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u/>
      <sz val="10"/>
      <color rgb="FFFF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rgb="FFCC3399"/>
        <bgColor indexed="64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auto="1"/>
      </right>
      <top style="thin">
        <color indexed="64"/>
      </top>
      <bottom/>
      <diagonal/>
    </border>
    <border>
      <left style="hair">
        <color indexed="64"/>
      </left>
      <right style="medium">
        <color auto="1"/>
      </right>
      <top/>
      <bottom/>
      <diagonal/>
    </border>
    <border>
      <left style="hair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6" fillId="0" borderId="0" applyNumberFormat="0" applyFill="0" applyBorder="0" applyProtection="0"/>
    <xf numFmtId="0" fontId="7" fillId="0" borderId="0"/>
    <xf numFmtId="0" fontId="8" fillId="0" borderId="0"/>
    <xf numFmtId="0" fontId="12" fillId="0" borderId="0"/>
    <xf numFmtId="0" fontId="50" fillId="0" borderId="0" applyNumberFormat="0" applyFill="0" applyBorder="0" applyAlignment="0" applyProtection="0"/>
    <xf numFmtId="44" fontId="51" fillId="0" borderId="0" applyFont="0" applyFill="0" applyBorder="0" applyAlignment="0" applyProtection="0"/>
  </cellStyleXfs>
  <cellXfs count="730">
    <xf numFmtId="0" fontId="0" fillId="0" borderId="0" xfId="0"/>
    <xf numFmtId="0" fontId="2" fillId="13" borderId="14" xfId="0" applyFont="1" applyFill="1" applyBorder="1" applyAlignment="1" applyProtection="1">
      <alignment horizontal="center"/>
      <protection locked="0"/>
    </xf>
    <xf numFmtId="1" fontId="2" fillId="13" borderId="14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4" fillId="4" borderId="81" xfId="0" applyFont="1" applyFill="1" applyBorder="1" applyAlignment="1" applyProtection="1">
      <alignment horizontal="center"/>
      <protection hidden="1"/>
    </xf>
    <xf numFmtId="0" fontId="4" fillId="4" borderId="82" xfId="0" applyFont="1" applyFill="1" applyBorder="1" applyAlignment="1" applyProtection="1">
      <alignment horizontal="center"/>
      <protection hidden="1"/>
    </xf>
    <xf numFmtId="0" fontId="0" fillId="4" borderId="83" xfId="0" applyFill="1" applyBorder="1" applyProtection="1">
      <protection hidden="1"/>
    </xf>
    <xf numFmtId="0" fontId="42" fillId="0" borderId="54" xfId="2" applyFont="1" applyBorder="1" applyAlignment="1" applyProtection="1">
      <alignment vertical="center"/>
      <protection hidden="1"/>
    </xf>
    <xf numFmtId="0" fontId="42" fillId="0" borderId="74" xfId="2" applyFont="1" applyBorder="1" applyAlignment="1" applyProtection="1">
      <alignment vertical="center"/>
      <protection hidden="1"/>
    </xf>
    <xf numFmtId="0" fontId="33" fillId="0" borderId="75" xfId="0" applyFont="1" applyBorder="1" applyAlignment="1" applyProtection="1">
      <alignment horizontal="center"/>
      <protection hidden="1"/>
    </xf>
    <xf numFmtId="0" fontId="33" fillId="0" borderId="49" xfId="0" applyFont="1" applyBorder="1" applyAlignment="1" applyProtection="1">
      <alignment horizontal="center"/>
      <protection hidden="1"/>
    </xf>
    <xf numFmtId="0" fontId="52" fillId="0" borderId="49" xfId="0" applyFont="1" applyBorder="1" applyAlignment="1" applyProtection="1">
      <alignment horizontal="right"/>
      <protection hidden="1"/>
    </xf>
    <xf numFmtId="0" fontId="33" fillId="0" borderId="49" xfId="0" applyFont="1" applyBorder="1" applyAlignment="1" applyProtection="1">
      <alignment wrapText="1"/>
      <protection hidden="1"/>
    </xf>
    <xf numFmtId="0" fontId="33" fillId="0" borderId="48" xfId="0" applyFont="1" applyBorder="1" applyAlignment="1" applyProtection="1">
      <alignment horizontal="center"/>
      <protection hidden="1"/>
    </xf>
    <xf numFmtId="0" fontId="26" fillId="2" borderId="84" xfId="2" applyFont="1" applyFill="1" applyBorder="1" applyProtection="1">
      <protection hidden="1"/>
    </xf>
    <xf numFmtId="0" fontId="26" fillId="0" borderId="60" xfId="2" applyFont="1" applyBorder="1" applyProtection="1">
      <protection hidden="1"/>
    </xf>
    <xf numFmtId="0" fontId="26" fillId="2" borderId="60" xfId="2" applyFont="1" applyFill="1" applyBorder="1" applyProtection="1">
      <protection hidden="1"/>
    </xf>
    <xf numFmtId="0" fontId="26" fillId="0" borderId="85" xfId="2" applyFont="1" applyBorder="1" applyProtection="1">
      <protection hidden="1"/>
    </xf>
    <xf numFmtId="0" fontId="4" fillId="13" borderId="51" xfId="0" applyFont="1" applyFill="1" applyBorder="1" applyAlignment="1" applyProtection="1">
      <alignment horizontal="center"/>
      <protection hidden="1"/>
    </xf>
    <xf numFmtId="0" fontId="0" fillId="13" borderId="52" xfId="0" applyFill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21" fillId="0" borderId="0" xfId="2" applyFont="1" applyProtection="1">
      <protection hidden="1"/>
    </xf>
    <xf numFmtId="0" fontId="42" fillId="0" borderId="40" xfId="2" applyFont="1" applyBorder="1" applyAlignment="1" applyProtection="1">
      <alignment vertical="center"/>
      <protection hidden="1"/>
    </xf>
    <xf numFmtId="0" fontId="42" fillId="0" borderId="38" xfId="2" applyFont="1" applyBorder="1" applyAlignment="1" applyProtection="1">
      <alignment vertical="center"/>
      <protection hidden="1"/>
    </xf>
    <xf numFmtId="0" fontId="33" fillId="0" borderId="42" xfId="0" applyFont="1" applyBorder="1" applyAlignment="1" applyProtection="1">
      <alignment horizontal="center"/>
      <protection hidden="1"/>
    </xf>
    <xf numFmtId="0" fontId="33" fillId="0" borderId="0" xfId="0" applyFont="1" applyAlignment="1" applyProtection="1">
      <alignment horizontal="center"/>
      <protection hidden="1"/>
    </xf>
    <xf numFmtId="0" fontId="33" fillId="0" borderId="0" xfId="0" applyFont="1" applyAlignment="1" applyProtection="1">
      <alignment wrapText="1"/>
      <protection hidden="1"/>
    </xf>
    <xf numFmtId="0" fontId="33" fillId="0" borderId="45" xfId="0" applyFont="1" applyBorder="1" applyAlignment="1" applyProtection="1">
      <alignment horizontal="center"/>
      <protection hidden="1"/>
    </xf>
    <xf numFmtId="0" fontId="22" fillId="0" borderId="84" xfId="0" applyFont="1" applyBorder="1" applyProtection="1">
      <protection hidden="1"/>
    </xf>
    <xf numFmtId="0" fontId="0" fillId="0" borderId="54" xfId="0" applyBorder="1" applyAlignment="1" applyProtection="1">
      <alignment horizontal="center"/>
      <protection hidden="1"/>
    </xf>
    <xf numFmtId="2" fontId="0" fillId="0" borderId="48" xfId="0" applyNumberFormat="1" applyBorder="1" applyAlignment="1" applyProtection="1">
      <alignment horizontal="center"/>
      <protection hidden="1"/>
    </xf>
    <xf numFmtId="0" fontId="0" fillId="0" borderId="40" xfId="0" applyBorder="1" applyProtection="1">
      <protection hidden="1"/>
    </xf>
    <xf numFmtId="0" fontId="0" fillId="0" borderId="3" xfId="0" applyBorder="1" applyAlignment="1" applyProtection="1">
      <alignment horizontal="center"/>
      <protection hidden="1"/>
    </xf>
    <xf numFmtId="2" fontId="0" fillId="0" borderId="45" xfId="0" applyNumberFormat="1" applyBorder="1" applyAlignment="1" applyProtection="1">
      <alignment horizontal="center"/>
      <protection hidden="1"/>
    </xf>
    <xf numFmtId="0" fontId="4" fillId="19" borderId="36" xfId="0" applyFont="1" applyFill="1" applyBorder="1" applyProtection="1">
      <protection hidden="1"/>
    </xf>
    <xf numFmtId="0" fontId="0" fillId="19" borderId="37" xfId="0" applyFill="1" applyBorder="1" applyProtection="1">
      <protection hidden="1"/>
    </xf>
    <xf numFmtId="0" fontId="21" fillId="19" borderId="37" xfId="2" applyFont="1" applyFill="1" applyBorder="1" applyProtection="1">
      <protection hidden="1"/>
    </xf>
    <xf numFmtId="0" fontId="21" fillId="18" borderId="37" xfId="2" applyFont="1" applyFill="1" applyBorder="1" applyProtection="1">
      <protection hidden="1"/>
    </xf>
    <xf numFmtId="0" fontId="0" fillId="18" borderId="37" xfId="0" applyFill="1" applyBorder="1" applyProtection="1">
      <protection hidden="1"/>
    </xf>
    <xf numFmtId="0" fontId="0" fillId="18" borderId="34" xfId="0" applyFill="1" applyBorder="1" applyProtection="1">
      <protection hidden="1"/>
    </xf>
    <xf numFmtId="0" fontId="49" fillId="0" borderId="0" xfId="0" applyFont="1" applyProtection="1">
      <protection hidden="1"/>
    </xf>
    <xf numFmtId="0" fontId="0" fillId="0" borderId="13" xfId="0" applyBorder="1" applyAlignment="1" applyProtection="1">
      <alignment horizontal="center"/>
      <protection hidden="1"/>
    </xf>
    <xf numFmtId="0" fontId="22" fillId="0" borderId="85" xfId="0" applyFont="1" applyBorder="1" applyProtection="1">
      <protection hidden="1"/>
    </xf>
    <xf numFmtId="0" fontId="0" fillId="18" borderId="42" xfId="0" applyFill="1" applyBorder="1" applyProtection="1">
      <protection hidden="1"/>
    </xf>
    <xf numFmtId="0" fontId="0" fillId="18" borderId="0" xfId="0" applyFill="1" applyProtection="1">
      <protection hidden="1"/>
    </xf>
    <xf numFmtId="0" fontId="21" fillId="18" borderId="0" xfId="2" applyFont="1" applyFill="1" applyProtection="1">
      <protection hidden="1"/>
    </xf>
    <xf numFmtId="0" fontId="21" fillId="18" borderId="0" xfId="2" applyFont="1" applyFill="1" applyAlignment="1" applyProtection="1">
      <alignment horizontal="center"/>
      <protection hidden="1"/>
    </xf>
    <xf numFmtId="0" fontId="16" fillId="18" borderId="36" xfId="0" applyFont="1" applyFill="1" applyBorder="1" applyAlignment="1" applyProtection="1">
      <alignment horizontal="center"/>
      <protection hidden="1"/>
    </xf>
    <xf numFmtId="0" fontId="12" fillId="18" borderId="34" xfId="0" applyFont="1" applyFill="1" applyBorder="1" applyProtection="1">
      <protection hidden="1"/>
    </xf>
    <xf numFmtId="0" fontId="12" fillId="18" borderId="38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16" fillId="14" borderId="27" xfId="4" applyFont="1" applyFill="1" applyBorder="1" applyAlignment="1" applyProtection="1">
      <alignment horizontal="center" vertical="center"/>
      <protection hidden="1"/>
    </xf>
    <xf numFmtId="0" fontId="16" fillId="14" borderId="28" xfId="4" applyFont="1" applyFill="1" applyBorder="1" applyAlignment="1" applyProtection="1">
      <alignment horizontal="center" vertical="center"/>
      <protection hidden="1"/>
    </xf>
    <xf numFmtId="0" fontId="16" fillId="14" borderId="77" xfId="4" applyFont="1" applyFill="1" applyBorder="1" applyAlignment="1" applyProtection="1">
      <alignment horizontal="center" vertical="center"/>
      <protection hidden="1"/>
    </xf>
    <xf numFmtId="0" fontId="16" fillId="14" borderId="28" xfId="4" applyFont="1" applyFill="1" applyBorder="1" applyAlignment="1" applyProtection="1">
      <alignment vertical="center"/>
      <protection hidden="1"/>
    </xf>
    <xf numFmtId="0" fontId="12" fillId="0" borderId="28" xfId="4" applyBorder="1" applyAlignment="1" applyProtection="1">
      <alignment horizontal="center" vertic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18" borderId="0" xfId="2" applyFont="1" applyFill="1" applyAlignment="1" applyProtection="1">
      <alignment horizontal="right"/>
      <protection hidden="1"/>
    </xf>
    <xf numFmtId="2" fontId="34" fillId="18" borderId="0" xfId="2" applyNumberFormat="1" applyFont="1" applyFill="1" applyAlignment="1" applyProtection="1">
      <alignment horizontal="center"/>
      <protection hidden="1"/>
    </xf>
    <xf numFmtId="0" fontId="16" fillId="18" borderId="42" xfId="0" applyFont="1" applyFill="1" applyBorder="1" applyAlignment="1" applyProtection="1">
      <alignment horizontal="center"/>
      <protection hidden="1"/>
    </xf>
    <xf numFmtId="0" fontId="47" fillId="0" borderId="0" xfId="0" applyFont="1" applyProtection="1">
      <protection hidden="1"/>
    </xf>
    <xf numFmtId="0" fontId="15" fillId="14" borderId="116" xfId="0" applyFont="1" applyFill="1" applyBorder="1" applyProtection="1">
      <protection hidden="1"/>
    </xf>
    <xf numFmtId="0" fontId="16" fillId="14" borderId="117" xfId="0" applyFont="1" applyFill="1" applyBorder="1" applyAlignment="1" applyProtection="1">
      <alignment horizontal="center"/>
      <protection hidden="1"/>
    </xf>
    <xf numFmtId="0" fontId="16" fillId="14" borderId="117" xfId="4" applyFont="1" applyFill="1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21" fillId="18" borderId="42" xfId="2" applyFont="1" applyFill="1" applyBorder="1" applyAlignment="1" applyProtection="1">
      <alignment horizontal="center"/>
      <protection hidden="1"/>
    </xf>
    <xf numFmtId="0" fontId="21" fillId="18" borderId="0" xfId="2" applyFont="1" applyFill="1" applyAlignment="1" applyProtection="1">
      <alignment horizontal="left"/>
      <protection hidden="1"/>
    </xf>
    <xf numFmtId="0" fontId="12" fillId="18" borderId="42" xfId="0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wrapText="1"/>
      <protection hidden="1"/>
    </xf>
    <xf numFmtId="0" fontId="0" fillId="0" borderId="15" xfId="0" applyBorder="1" applyAlignment="1" applyProtection="1">
      <alignment horizontal="center"/>
      <protection hidden="1"/>
    </xf>
    <xf numFmtId="0" fontId="21" fillId="18" borderId="42" xfId="2" applyFont="1" applyFill="1" applyBorder="1" applyProtection="1">
      <protection hidden="1"/>
    </xf>
    <xf numFmtId="1" fontId="21" fillId="18" borderId="0" xfId="2" applyNumberFormat="1" applyFont="1" applyFill="1" applyProtection="1">
      <protection hidden="1"/>
    </xf>
    <xf numFmtId="0" fontId="0" fillId="18" borderId="0" xfId="0" applyFill="1" applyAlignment="1" applyProtection="1">
      <alignment horizontal="center"/>
      <protection hidden="1"/>
    </xf>
    <xf numFmtId="1" fontId="0" fillId="18" borderId="0" xfId="0" applyNumberFormat="1" applyFill="1" applyAlignment="1" applyProtection="1">
      <alignment horizontal="center"/>
      <protection hidden="1"/>
    </xf>
    <xf numFmtId="0" fontId="16" fillId="18" borderId="38" xfId="0" applyFont="1" applyFill="1" applyBorder="1" applyAlignment="1" applyProtection="1">
      <alignment horizontal="center"/>
      <protection hidden="1"/>
    </xf>
    <xf numFmtId="0" fontId="16" fillId="0" borderId="0" xfId="4" applyFont="1" applyAlignment="1" applyProtection="1">
      <alignment horizontal="center" vertical="center"/>
      <protection hidden="1"/>
    </xf>
    <xf numFmtId="0" fontId="16" fillId="14" borderId="40" xfId="4" applyFont="1" applyFill="1" applyBorder="1" applyAlignment="1" applyProtection="1">
      <alignment horizontal="center" vertical="center"/>
      <protection hidden="1"/>
    </xf>
    <xf numFmtId="0" fontId="16" fillId="14" borderId="0" xfId="4" applyFont="1" applyFill="1" applyAlignment="1" applyProtection="1">
      <alignment horizontal="center" vertical="center"/>
      <protection hidden="1"/>
    </xf>
    <xf numFmtId="0" fontId="16" fillId="14" borderId="0" xfId="0" applyFont="1" applyFill="1" applyAlignment="1" applyProtection="1">
      <alignment horizontal="center" vertical="center"/>
      <protection hidden="1"/>
    </xf>
    <xf numFmtId="1" fontId="12" fillId="14" borderId="0" xfId="0" applyNumberFormat="1" applyFont="1" applyFill="1" applyAlignment="1" applyProtection="1">
      <alignment horizontal="center"/>
      <protection hidden="1"/>
    </xf>
    <xf numFmtId="0" fontId="16" fillId="14" borderId="30" xfId="4" applyFont="1" applyFill="1" applyBorder="1" applyAlignment="1" applyProtection="1">
      <alignment horizontal="center" vertical="center"/>
      <protection hidden="1"/>
    </xf>
    <xf numFmtId="3" fontId="0" fillId="0" borderId="45" xfId="0" applyNumberFormat="1" applyBorder="1" applyAlignment="1" applyProtection="1">
      <alignment horizontal="center"/>
      <protection hidden="1"/>
    </xf>
    <xf numFmtId="2" fontId="0" fillId="18" borderId="0" xfId="0" applyNumberFormat="1" applyFill="1" applyAlignment="1" applyProtection="1">
      <alignment horizontal="center"/>
      <protection hidden="1"/>
    </xf>
    <xf numFmtId="0" fontId="12" fillId="18" borderId="42" xfId="0" applyFont="1" applyFill="1" applyBorder="1" applyProtection="1">
      <protection hidden="1"/>
    </xf>
    <xf numFmtId="174" fontId="12" fillId="17" borderId="44" xfId="6" applyNumberFormat="1" applyFont="1" applyFill="1" applyBorder="1" applyAlignment="1" applyProtection="1">
      <alignment horizontal="center" vertical="center"/>
      <protection hidden="1"/>
    </xf>
    <xf numFmtId="0" fontId="12" fillId="14" borderId="44" xfId="4" applyFill="1" applyBorder="1" applyAlignment="1" applyProtection="1">
      <alignment horizontal="center" vertical="center"/>
      <protection hidden="1"/>
    </xf>
    <xf numFmtId="1" fontId="12" fillId="14" borderId="44" xfId="4" applyNumberFormat="1" applyFill="1" applyBorder="1" applyAlignment="1" applyProtection="1">
      <alignment horizontal="center" vertical="center"/>
      <protection hidden="1"/>
    </xf>
    <xf numFmtId="0" fontId="12" fillId="14" borderId="14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2" fillId="0" borderId="60" xfId="2" applyFont="1" applyBorder="1" applyProtection="1">
      <protection hidden="1"/>
    </xf>
    <xf numFmtId="0" fontId="26" fillId="0" borderId="67" xfId="2" applyFont="1" applyBorder="1" applyProtection="1">
      <protection hidden="1"/>
    </xf>
    <xf numFmtId="0" fontId="0" fillId="0" borderId="51" xfId="0" applyBorder="1" applyAlignment="1" applyProtection="1">
      <alignment horizontal="center"/>
      <protection hidden="1"/>
    </xf>
    <xf numFmtId="1" fontId="0" fillId="0" borderId="45" xfId="0" applyNumberForma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0" fillId="16" borderId="60" xfId="0" applyFill="1" applyBorder="1" applyProtection="1">
      <protection hidden="1"/>
    </xf>
    <xf numFmtId="1" fontId="0" fillId="0" borderId="52" xfId="0" applyNumberFormat="1" applyBorder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164" fontId="22" fillId="0" borderId="84" xfId="0" applyNumberFormat="1" applyFont="1" applyBorder="1" applyProtection="1">
      <protection hidden="1"/>
    </xf>
    <xf numFmtId="0" fontId="0" fillId="0" borderId="60" xfId="0" applyBorder="1" applyProtection="1">
      <protection hidden="1"/>
    </xf>
    <xf numFmtId="0" fontId="22" fillId="0" borderId="60" xfId="0" applyFont="1" applyBorder="1" applyProtection="1">
      <protection hidden="1"/>
    </xf>
    <xf numFmtId="168" fontId="0" fillId="18" borderId="0" xfId="0" applyNumberFormat="1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2" fillId="18" borderId="77" xfId="0" applyFont="1" applyFill="1" applyBorder="1" applyProtection="1">
      <protection hidden="1"/>
    </xf>
    <xf numFmtId="0" fontId="12" fillId="18" borderId="76" xfId="0" applyFont="1" applyFill="1" applyBorder="1" applyProtection="1">
      <protection hidden="1"/>
    </xf>
    <xf numFmtId="0" fontId="0" fillId="18" borderId="38" xfId="0" applyFill="1" applyBorder="1" applyProtection="1">
      <protection hidden="1"/>
    </xf>
    <xf numFmtId="0" fontId="48" fillId="0" borderId="0" xfId="0" applyFont="1" applyProtection="1">
      <protection hidden="1"/>
    </xf>
    <xf numFmtId="169" fontId="0" fillId="18" borderId="0" xfId="0" applyNumberFormat="1" applyFill="1" applyAlignment="1" applyProtection="1">
      <alignment horizontal="center"/>
      <protection hidden="1"/>
    </xf>
    <xf numFmtId="0" fontId="21" fillId="0" borderId="0" xfId="2" applyFont="1" applyAlignment="1" applyProtection="1">
      <alignment horizontal="center"/>
      <protection hidden="1"/>
    </xf>
    <xf numFmtId="0" fontId="26" fillId="16" borderId="60" xfId="2" applyFont="1" applyFill="1" applyBorder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165" fontId="0" fillId="18" borderId="0" xfId="0" applyNumberFormat="1" applyFill="1" applyAlignment="1" applyProtection="1">
      <alignment horizontal="center"/>
      <protection hidden="1"/>
    </xf>
    <xf numFmtId="0" fontId="4" fillId="0" borderId="0" xfId="4" applyFont="1" applyAlignment="1" applyProtection="1">
      <alignment horizontal="center" vertical="center"/>
      <protection hidden="1"/>
    </xf>
    <xf numFmtId="0" fontId="26" fillId="16" borderId="60" xfId="2" applyFont="1" applyFill="1" applyBorder="1" applyAlignment="1" applyProtection="1">
      <alignment wrapText="1"/>
      <protection hidden="1"/>
    </xf>
    <xf numFmtId="0" fontId="12" fillId="0" borderId="0" xfId="4" applyAlignment="1" applyProtection="1">
      <alignment horizontal="left" vertical="center"/>
      <protection hidden="1"/>
    </xf>
    <xf numFmtId="0" fontId="34" fillId="18" borderId="51" xfId="2" applyFont="1" applyFill="1" applyBorder="1" applyAlignment="1" applyProtection="1">
      <alignment horizontal="right"/>
      <protection hidden="1"/>
    </xf>
    <xf numFmtId="0" fontId="34" fillId="18" borderId="53" xfId="2" applyFont="1" applyFill="1" applyBorder="1" applyAlignment="1" applyProtection="1">
      <alignment horizontal="right"/>
      <protection hidden="1"/>
    </xf>
    <xf numFmtId="0" fontId="34" fillId="18" borderId="52" xfId="2" applyFont="1" applyFill="1" applyBorder="1" applyAlignment="1" applyProtection="1">
      <alignment horizontal="right"/>
      <protection hidden="1"/>
    </xf>
    <xf numFmtId="0" fontId="13" fillId="14" borderId="35" xfId="4" applyFont="1" applyFill="1" applyBorder="1" applyAlignment="1" applyProtection="1">
      <alignment vertical="center"/>
      <protection hidden="1"/>
    </xf>
    <xf numFmtId="0" fontId="13" fillId="14" borderId="30" xfId="4" applyFont="1" applyFill="1" applyBorder="1" applyAlignment="1" applyProtection="1">
      <alignment vertical="center"/>
      <protection hidden="1"/>
    </xf>
    <xf numFmtId="0" fontId="12" fillId="14" borderId="0" xfId="4" applyFill="1" applyAlignment="1" applyProtection="1">
      <alignment vertical="center"/>
      <protection hidden="1"/>
    </xf>
    <xf numFmtId="0" fontId="12" fillId="14" borderId="45" xfId="4" applyFill="1" applyBorder="1" applyAlignment="1" applyProtection="1">
      <alignment vertical="center"/>
      <protection hidden="1"/>
    </xf>
    <xf numFmtId="165" fontId="21" fillId="18" borderId="0" xfId="2" applyNumberFormat="1" applyFont="1" applyFill="1" applyAlignment="1" applyProtection="1">
      <alignment horizontal="center"/>
      <protection hidden="1"/>
    </xf>
    <xf numFmtId="0" fontId="13" fillId="14" borderId="40" xfId="4" applyFont="1" applyFill="1" applyBorder="1" applyAlignment="1" applyProtection="1">
      <alignment vertical="center"/>
      <protection hidden="1"/>
    </xf>
    <xf numFmtId="0" fontId="13" fillId="14" borderId="0" xfId="4" applyFont="1" applyFill="1" applyAlignment="1" applyProtection="1">
      <alignment vertical="center"/>
      <protection hidden="1"/>
    </xf>
    <xf numFmtId="0" fontId="21" fillId="18" borderId="36" xfId="2" applyFont="1" applyFill="1" applyBorder="1" applyProtection="1">
      <protection hidden="1"/>
    </xf>
    <xf numFmtId="0" fontId="21" fillId="18" borderId="37" xfId="2" applyFont="1" applyFill="1" applyBorder="1" applyAlignment="1" applyProtection="1">
      <alignment horizontal="right"/>
      <protection hidden="1"/>
    </xf>
    <xf numFmtId="1" fontId="21" fillId="18" borderId="37" xfId="2" applyNumberFormat="1" applyFont="1" applyFill="1" applyBorder="1" applyAlignment="1" applyProtection="1">
      <alignment horizontal="center"/>
      <protection hidden="1"/>
    </xf>
    <xf numFmtId="1" fontId="21" fillId="18" borderId="34" xfId="2" applyNumberFormat="1" applyFont="1" applyFill="1" applyBorder="1" applyAlignment="1" applyProtection="1">
      <alignment horizontal="center"/>
      <protection hidden="1"/>
    </xf>
    <xf numFmtId="0" fontId="21" fillId="18" borderId="77" xfId="2" applyFont="1" applyFill="1" applyBorder="1" applyProtection="1">
      <protection hidden="1"/>
    </xf>
    <xf numFmtId="0" fontId="21" fillId="18" borderId="28" xfId="2" applyFont="1" applyFill="1" applyBorder="1" applyAlignment="1" applyProtection="1">
      <alignment horizontal="right"/>
      <protection hidden="1"/>
    </xf>
    <xf numFmtId="2" fontId="21" fillId="18" borderId="28" xfId="2" applyNumberFormat="1" applyFont="1" applyFill="1" applyBorder="1" applyAlignment="1" applyProtection="1">
      <alignment horizontal="center"/>
      <protection hidden="1"/>
    </xf>
    <xf numFmtId="2" fontId="21" fillId="18" borderId="76" xfId="2" applyNumberFormat="1" applyFont="1" applyFill="1" applyBorder="1" applyAlignment="1" applyProtection="1">
      <alignment horizontal="center"/>
      <protection hidden="1"/>
    </xf>
    <xf numFmtId="0" fontId="12" fillId="0" borderId="0" xfId="0" applyFont="1" applyProtection="1">
      <protection hidden="1"/>
    </xf>
    <xf numFmtId="0" fontId="13" fillId="14" borderId="1" xfId="4" applyFont="1" applyFill="1" applyBorder="1" applyAlignment="1" applyProtection="1">
      <alignment vertical="center"/>
      <protection hidden="1"/>
    </xf>
    <xf numFmtId="0" fontId="13" fillId="14" borderId="14" xfId="4" applyFont="1" applyFill="1" applyBorder="1" applyAlignment="1" applyProtection="1">
      <alignment vertical="center"/>
      <protection hidden="1"/>
    </xf>
    <xf numFmtId="0" fontId="12" fillId="14" borderId="14" xfId="4" applyFill="1" applyBorder="1" applyAlignment="1" applyProtection="1">
      <alignment vertical="center"/>
      <protection hidden="1"/>
    </xf>
    <xf numFmtId="0" fontId="12" fillId="14" borderId="2" xfId="4" applyFill="1" applyBorder="1" applyAlignment="1" applyProtection="1">
      <alignment vertical="center"/>
      <protection hidden="1"/>
    </xf>
    <xf numFmtId="0" fontId="26" fillId="0" borderId="0" xfId="2" applyFont="1" applyProtection="1">
      <protection hidden="1"/>
    </xf>
    <xf numFmtId="2" fontId="21" fillId="18" borderId="0" xfId="2" applyNumberFormat="1" applyFont="1" applyFill="1" applyAlignment="1" applyProtection="1">
      <alignment horizontal="center"/>
      <protection hidden="1"/>
    </xf>
    <xf numFmtId="0" fontId="34" fillId="14" borderId="33" xfId="0" applyFont="1" applyFill="1" applyBorder="1" applyAlignment="1" applyProtection="1">
      <alignment vertical="center"/>
      <protection hidden="1"/>
    </xf>
    <xf numFmtId="0" fontId="14" fillId="14" borderId="37" xfId="2" applyFont="1" applyFill="1" applyBorder="1" applyAlignment="1" applyProtection="1">
      <alignment horizontal="center"/>
      <protection hidden="1"/>
    </xf>
    <xf numFmtId="0" fontId="0" fillId="14" borderId="36" xfId="0" applyFill="1" applyBorder="1" applyProtection="1">
      <protection hidden="1"/>
    </xf>
    <xf numFmtId="0" fontId="12" fillId="18" borderId="0" xfId="0" applyFont="1" applyFill="1" applyAlignment="1" applyProtection="1">
      <alignment horizontal="center"/>
      <protection hidden="1"/>
    </xf>
    <xf numFmtId="3" fontId="21" fillId="18" borderId="0" xfId="2" applyNumberFormat="1" applyFont="1" applyFill="1" applyAlignment="1" applyProtection="1">
      <alignment horizontal="center"/>
      <protection hidden="1"/>
    </xf>
    <xf numFmtId="170" fontId="21" fillId="18" borderId="0" xfId="2" applyNumberFormat="1" applyFont="1" applyFill="1" applyAlignment="1" applyProtection="1">
      <alignment horizontal="center"/>
      <protection hidden="1"/>
    </xf>
    <xf numFmtId="0" fontId="0" fillId="18" borderId="65" xfId="0" applyFill="1" applyBorder="1" applyAlignment="1" applyProtection="1">
      <alignment horizontal="center"/>
      <protection hidden="1"/>
    </xf>
    <xf numFmtId="0" fontId="12" fillId="14" borderId="40" xfId="2" applyFont="1" applyFill="1" applyBorder="1" applyProtection="1">
      <protection hidden="1"/>
    </xf>
    <xf numFmtId="0" fontId="14" fillId="14" borderId="89" xfId="0" applyFont="1" applyFill="1" applyBorder="1" applyAlignment="1" applyProtection="1">
      <alignment horizontal="center" vertical="center"/>
      <protection hidden="1"/>
    </xf>
    <xf numFmtId="0" fontId="14" fillId="14" borderId="38" xfId="0" applyFont="1" applyFill="1" applyBorder="1" applyAlignment="1" applyProtection="1">
      <alignment horizontal="center" vertical="center"/>
      <protection hidden="1"/>
    </xf>
    <xf numFmtId="0" fontId="12" fillId="14" borderId="42" xfId="2" applyFont="1" applyFill="1" applyBorder="1" applyProtection="1">
      <protection hidden="1"/>
    </xf>
    <xf numFmtId="3" fontId="12" fillId="18" borderId="0" xfId="0" applyNumberFormat="1" applyFont="1" applyFill="1" applyAlignment="1" applyProtection="1">
      <alignment horizontal="center"/>
      <protection hidden="1"/>
    </xf>
    <xf numFmtId="0" fontId="21" fillId="18" borderId="67" xfId="2" applyFont="1" applyFill="1" applyBorder="1" applyAlignment="1" applyProtection="1">
      <alignment horizontal="left"/>
      <protection hidden="1"/>
    </xf>
    <xf numFmtId="0" fontId="34" fillId="14" borderId="58" xfId="2" applyFont="1" applyFill="1" applyBorder="1" applyAlignment="1" applyProtection="1">
      <alignment horizontal="center" vertical="center"/>
      <protection hidden="1"/>
    </xf>
    <xf numFmtId="1" fontId="21" fillId="14" borderId="43" xfId="2" applyNumberFormat="1" applyFont="1" applyFill="1" applyBorder="1" applyAlignment="1" applyProtection="1">
      <alignment horizontal="center" vertical="center"/>
      <protection hidden="1"/>
    </xf>
    <xf numFmtId="0" fontId="2" fillId="16" borderId="60" xfId="2" applyFont="1" applyFill="1" applyBorder="1" applyProtection="1">
      <protection hidden="1"/>
    </xf>
    <xf numFmtId="0" fontId="0" fillId="8" borderId="55" xfId="0" applyFill="1" applyBorder="1" applyProtection="1">
      <protection hidden="1"/>
    </xf>
    <xf numFmtId="0" fontId="0" fillId="8" borderId="56" xfId="0" applyFill="1" applyBorder="1" applyProtection="1">
      <protection hidden="1"/>
    </xf>
    <xf numFmtId="0" fontId="0" fillId="8" borderId="93" xfId="0" applyFill="1" applyBorder="1" applyAlignment="1" applyProtection="1">
      <alignment horizontal="center" vertical="center"/>
      <protection hidden="1"/>
    </xf>
    <xf numFmtId="0" fontId="0" fillId="0" borderId="54" xfId="0" quotePrefix="1" applyBorder="1" applyAlignment="1" applyProtection="1">
      <alignment horizontal="center"/>
      <protection hidden="1"/>
    </xf>
    <xf numFmtId="1" fontId="34" fillId="14" borderId="95" xfId="2" applyNumberFormat="1" applyFont="1" applyFill="1" applyBorder="1" applyAlignment="1" applyProtection="1">
      <alignment horizontal="center" vertical="center"/>
      <protection hidden="1"/>
    </xf>
    <xf numFmtId="0" fontId="34" fillId="0" borderId="22" xfId="2" applyFont="1" applyBorder="1" applyAlignment="1" applyProtection="1">
      <alignment horizontal="center"/>
      <protection hidden="1"/>
    </xf>
    <xf numFmtId="0" fontId="22" fillId="0" borderId="22" xfId="0" applyFont="1" applyBorder="1" applyAlignment="1" applyProtection="1">
      <alignment horizontal="center"/>
      <protection hidden="1"/>
    </xf>
    <xf numFmtId="1" fontId="12" fillId="18" borderId="0" xfId="0" applyNumberFormat="1" applyFont="1" applyFill="1" applyAlignment="1" applyProtection="1">
      <alignment horizontal="center"/>
      <protection hidden="1"/>
    </xf>
    <xf numFmtId="1" fontId="34" fillId="14" borderId="96" xfId="2" applyNumberFormat="1" applyFont="1" applyFill="1" applyBorder="1" applyAlignment="1" applyProtection="1">
      <alignment horizontal="center" vertical="center"/>
      <protection hidden="1"/>
    </xf>
    <xf numFmtId="0" fontId="34" fillId="0" borderId="16" xfId="2" applyFont="1" applyBorder="1" applyAlignment="1" applyProtection="1">
      <alignment horizontal="center"/>
      <protection hidden="1"/>
    </xf>
    <xf numFmtId="0" fontId="0" fillId="0" borderId="40" xfId="0" applyBorder="1" applyAlignment="1" applyProtection="1">
      <alignment horizontal="center"/>
      <protection hidden="1"/>
    </xf>
    <xf numFmtId="0" fontId="22" fillId="0" borderId="16" xfId="0" applyFont="1" applyBorder="1" applyAlignment="1" applyProtection="1">
      <alignment horizontal="center"/>
      <protection hidden="1"/>
    </xf>
    <xf numFmtId="0" fontId="0" fillId="0" borderId="85" xfId="0" applyBorder="1" applyProtection="1">
      <protection hidden="1"/>
    </xf>
    <xf numFmtId="0" fontId="2" fillId="0" borderId="60" xfId="0" applyFont="1" applyBorder="1" applyProtection="1">
      <protection hidden="1"/>
    </xf>
    <xf numFmtId="165" fontId="12" fillId="18" borderId="0" xfId="0" applyNumberFormat="1" applyFont="1" applyFill="1" applyAlignment="1" applyProtection="1">
      <alignment horizontal="center"/>
      <protection hidden="1"/>
    </xf>
    <xf numFmtId="1" fontId="34" fillId="14" borderId="97" xfId="2" applyNumberFormat="1" applyFont="1" applyFill="1" applyBorder="1" applyAlignment="1" applyProtection="1">
      <alignment horizontal="center" vertical="center"/>
      <protection hidden="1"/>
    </xf>
    <xf numFmtId="0" fontId="21" fillId="18" borderId="101" xfId="2" applyFont="1" applyFill="1" applyBorder="1" applyAlignment="1" applyProtection="1">
      <alignment horizontal="left"/>
      <protection hidden="1"/>
    </xf>
    <xf numFmtId="0" fontId="28" fillId="0" borderId="60" xfId="0" applyFont="1" applyBorder="1" applyProtection="1">
      <protection hidden="1"/>
    </xf>
    <xf numFmtId="0" fontId="28" fillId="0" borderId="85" xfId="0" applyFont="1" applyBorder="1" applyProtection="1">
      <protection hidden="1"/>
    </xf>
    <xf numFmtId="0" fontId="26" fillId="16" borderId="40" xfId="2" applyFont="1" applyFill="1" applyBorder="1" applyProtection="1">
      <protection hidden="1"/>
    </xf>
    <xf numFmtId="0" fontId="26" fillId="4" borderId="60" xfId="2" applyFont="1" applyFill="1" applyBorder="1" applyProtection="1">
      <protection hidden="1"/>
    </xf>
    <xf numFmtId="0" fontId="26" fillId="0" borderId="60" xfId="0" applyFont="1" applyBorder="1" applyProtection="1">
      <protection hidden="1"/>
    </xf>
    <xf numFmtId="2" fontId="12" fillId="18" borderId="0" xfId="0" applyNumberFormat="1" applyFont="1" applyFill="1" applyAlignment="1" applyProtection="1">
      <alignment horizontal="center"/>
      <protection hidden="1"/>
    </xf>
    <xf numFmtId="0" fontId="0" fillId="0" borderId="84" xfId="0" applyBorder="1" applyProtection="1">
      <protection hidden="1"/>
    </xf>
    <xf numFmtId="0" fontId="15" fillId="13" borderId="0" xfId="4" applyFont="1" applyFill="1" applyAlignment="1" applyProtection="1">
      <alignment horizontal="left" vertical="center" wrapText="1"/>
      <protection hidden="1"/>
    </xf>
    <xf numFmtId="0" fontId="14" fillId="13" borderId="0" xfId="4" applyFont="1" applyFill="1" applyAlignment="1" applyProtection="1">
      <alignment horizontal="center" vertical="center" wrapText="1"/>
      <protection hidden="1"/>
    </xf>
    <xf numFmtId="0" fontId="14" fillId="13" borderId="0" xfId="0" applyFont="1" applyFill="1" applyAlignment="1" applyProtection="1">
      <alignment horizontal="center" vertical="center" wrapText="1"/>
      <protection hidden="1"/>
    </xf>
    <xf numFmtId="0" fontId="26" fillId="0" borderId="84" xfId="2" applyFont="1" applyBorder="1" applyProtection="1">
      <protection hidden="1"/>
    </xf>
    <xf numFmtId="0" fontId="10" fillId="14" borderId="1" xfId="4" applyFont="1" applyFill="1" applyBorder="1" applyAlignment="1" applyProtection="1">
      <alignment horizontal="center" vertical="center"/>
      <protection hidden="1"/>
    </xf>
    <xf numFmtId="0" fontId="10" fillId="14" borderId="14" xfId="4" applyFont="1" applyFill="1" applyBorder="1" applyAlignment="1" applyProtection="1">
      <alignment horizontal="center" vertical="center"/>
      <protection hidden="1"/>
    </xf>
    <xf numFmtId="1" fontId="2" fillId="14" borderId="14" xfId="0" applyNumberFormat="1" applyFont="1" applyFill="1" applyBorder="1" applyAlignment="1" applyProtection="1">
      <alignment horizontal="center"/>
      <protection hidden="1"/>
    </xf>
    <xf numFmtId="0" fontId="10" fillId="14" borderId="14" xfId="0" applyFont="1" applyFill="1" applyBorder="1" applyAlignment="1" applyProtection="1">
      <alignment horizontal="center"/>
      <protection hidden="1"/>
    </xf>
    <xf numFmtId="1" fontId="16" fillId="14" borderId="14" xfId="4" applyNumberFormat="1" applyFont="1" applyFill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hidden="1"/>
    </xf>
    <xf numFmtId="1" fontId="2" fillId="0" borderId="0" xfId="0" applyNumberFormat="1" applyFont="1" applyAlignment="1" applyProtection="1">
      <alignment horizontal="center"/>
      <protection hidden="1"/>
    </xf>
    <xf numFmtId="1" fontId="16" fillId="0" borderId="0" xfId="4" applyNumberFormat="1" applyFont="1" applyAlignment="1" applyProtection="1">
      <alignment horizontal="center" vertical="center"/>
      <protection hidden="1"/>
    </xf>
    <xf numFmtId="1" fontId="21" fillId="18" borderId="0" xfId="2" applyNumberFormat="1" applyFont="1" applyFill="1" applyAlignment="1" applyProtection="1">
      <alignment horizontal="center"/>
      <protection hidden="1"/>
    </xf>
    <xf numFmtId="0" fontId="2" fillId="0" borderId="67" xfId="2" applyFont="1" applyBorder="1" applyProtection="1">
      <protection hidden="1"/>
    </xf>
    <xf numFmtId="0" fontId="22" fillId="0" borderId="51" xfId="0" applyFont="1" applyBorder="1" applyAlignment="1" applyProtection="1">
      <alignment horizontal="center"/>
      <protection hidden="1"/>
    </xf>
    <xf numFmtId="0" fontId="22" fillId="0" borderId="40" xfId="0" applyFont="1" applyBorder="1" applyAlignment="1" applyProtection="1">
      <alignment horizontal="center"/>
      <protection hidden="1"/>
    </xf>
    <xf numFmtId="0" fontId="0" fillId="8" borderId="56" xfId="0" applyFill="1" applyBorder="1" applyAlignment="1" applyProtection="1">
      <alignment horizontal="center" vertical="center"/>
      <protection hidden="1"/>
    </xf>
    <xf numFmtId="0" fontId="34" fillId="0" borderId="0" xfId="2" applyFont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4" fillId="8" borderId="51" xfId="0" applyFont="1" applyFill="1" applyBorder="1" applyAlignment="1" applyProtection="1">
      <alignment horizontal="center" vertical="center"/>
      <protection hidden="1"/>
    </xf>
    <xf numFmtId="0" fontId="2" fillId="0" borderId="0" xfId="4" applyFont="1" applyAlignment="1" applyProtection="1">
      <alignment horizontal="center" vertical="center"/>
      <protection hidden="1"/>
    </xf>
    <xf numFmtId="0" fontId="2" fillId="0" borderId="0" xfId="2" applyFont="1" applyProtection="1">
      <protection hidden="1"/>
    </xf>
    <xf numFmtId="0" fontId="24" fillId="0" borderId="0" xfId="3" applyFont="1" applyAlignment="1" applyProtection="1">
      <alignment horizontal="left"/>
      <protection hidden="1"/>
    </xf>
    <xf numFmtId="0" fontId="21" fillId="0" borderId="0" xfId="2" applyFont="1" applyAlignment="1" applyProtection="1">
      <alignment horizontal="left"/>
      <protection hidden="1"/>
    </xf>
    <xf numFmtId="0" fontId="21" fillId="18" borderId="28" xfId="2" applyFont="1" applyFill="1" applyBorder="1" applyProtection="1">
      <protection hidden="1"/>
    </xf>
    <xf numFmtId="0" fontId="0" fillId="18" borderId="28" xfId="0" applyFill="1" applyBorder="1" applyProtection="1">
      <protection hidden="1"/>
    </xf>
    <xf numFmtId="0" fontId="0" fillId="18" borderId="76" xfId="0" applyFill="1" applyBorder="1" applyProtection="1">
      <protection hidden="1"/>
    </xf>
    <xf numFmtId="0" fontId="0" fillId="0" borderId="64" xfId="0" applyBorder="1" applyProtection="1">
      <protection hidden="1"/>
    </xf>
    <xf numFmtId="0" fontId="26" fillId="0" borderId="65" xfId="2" applyFont="1" applyBorder="1" applyProtection="1">
      <protection hidden="1"/>
    </xf>
    <xf numFmtId="0" fontId="0" fillId="0" borderId="65" xfId="0" applyBorder="1" applyProtection="1">
      <protection hidden="1"/>
    </xf>
    <xf numFmtId="0" fontId="26" fillId="0" borderId="65" xfId="0" applyFont="1" applyBorder="1" applyProtection="1">
      <protection hidden="1"/>
    </xf>
    <xf numFmtId="0" fontId="17" fillId="0" borderId="60" xfId="0" applyFont="1" applyBorder="1" applyAlignment="1" applyProtection="1">
      <alignment horizontal="center"/>
      <protection hidden="1"/>
    </xf>
    <xf numFmtId="0" fontId="0" fillId="0" borderId="99" xfId="0" applyBorder="1" applyProtection="1">
      <protection hidden="1"/>
    </xf>
    <xf numFmtId="0" fontId="17" fillId="0" borderId="86" xfId="0" applyFont="1" applyBorder="1" applyAlignment="1" applyProtection="1">
      <alignment horizontal="center"/>
      <protection hidden="1"/>
    </xf>
    <xf numFmtId="0" fontId="0" fillId="0" borderId="86" xfId="0" applyBorder="1" applyProtection="1">
      <protection hidden="1"/>
    </xf>
    <xf numFmtId="0" fontId="26" fillId="0" borderId="86" xfId="2" applyFont="1" applyBorder="1" applyProtection="1">
      <protection hidden="1"/>
    </xf>
    <xf numFmtId="0" fontId="4" fillId="9" borderId="0" xfId="0" applyFont="1" applyFill="1" applyProtection="1">
      <protection hidden="1"/>
    </xf>
    <xf numFmtId="0" fontId="0" fillId="9" borderId="0" xfId="0" applyFill="1" applyProtection="1">
      <protection hidden="1"/>
    </xf>
    <xf numFmtId="0" fontId="21" fillId="9" borderId="0" xfId="2" applyFont="1" applyFill="1" applyProtection="1">
      <protection hidden="1"/>
    </xf>
    <xf numFmtId="0" fontId="21" fillId="15" borderId="0" xfId="2" applyFont="1" applyFill="1" applyProtection="1">
      <protection hidden="1"/>
    </xf>
    <xf numFmtId="0" fontId="0" fillId="15" borderId="0" xfId="0" applyFill="1" applyProtection="1">
      <protection hidden="1"/>
    </xf>
    <xf numFmtId="0" fontId="17" fillId="0" borderId="0" xfId="2" applyFont="1" applyAlignment="1" applyProtection="1">
      <alignment horizontal="center"/>
      <protection hidden="1"/>
    </xf>
    <xf numFmtId="0" fontId="21" fillId="15" borderId="0" xfId="2" applyFont="1" applyFill="1" applyAlignment="1" applyProtection="1">
      <alignment horizontal="center"/>
      <protection hidden="1"/>
    </xf>
    <xf numFmtId="0" fontId="16" fillId="15" borderId="36" xfId="0" applyFont="1" applyFill="1" applyBorder="1" applyAlignment="1" applyProtection="1">
      <alignment horizontal="center"/>
      <protection hidden="1"/>
    </xf>
    <xf numFmtId="0" fontId="12" fillId="15" borderId="34" xfId="0" applyFont="1" applyFill="1" applyBorder="1" applyProtection="1">
      <protection hidden="1"/>
    </xf>
    <xf numFmtId="0" fontId="0" fillId="0" borderId="115" xfId="0" applyBorder="1" applyProtection="1">
      <protection hidden="1"/>
    </xf>
    <xf numFmtId="0" fontId="21" fillId="15" borderId="0" xfId="2" applyFont="1" applyFill="1" applyAlignment="1" applyProtection="1">
      <alignment horizontal="right"/>
      <protection hidden="1"/>
    </xf>
    <xf numFmtId="2" fontId="34" fillId="15" borderId="0" xfId="2" applyNumberFormat="1" applyFont="1" applyFill="1" applyAlignment="1" applyProtection="1">
      <alignment horizontal="center"/>
      <protection hidden="1"/>
    </xf>
    <xf numFmtId="0" fontId="16" fillId="15" borderId="42" xfId="0" applyFont="1" applyFill="1" applyBorder="1" applyAlignment="1" applyProtection="1">
      <alignment horizontal="center"/>
      <protection hidden="1"/>
    </xf>
    <xf numFmtId="0" fontId="12" fillId="15" borderId="38" xfId="0" applyFont="1" applyFill="1" applyBorder="1" applyProtection="1">
      <protection hidden="1"/>
    </xf>
    <xf numFmtId="0" fontId="21" fillId="15" borderId="0" xfId="2" applyFont="1" applyFill="1" applyAlignment="1" applyProtection="1">
      <alignment horizontal="left"/>
      <protection hidden="1"/>
    </xf>
    <xf numFmtId="0" fontId="12" fillId="15" borderId="42" xfId="0" applyFont="1" applyFill="1" applyBorder="1" applyAlignment="1" applyProtection="1">
      <alignment horizontal="center"/>
      <protection hidden="1"/>
    </xf>
    <xf numFmtId="0" fontId="0" fillId="0" borderId="87" xfId="0" applyBorder="1" applyProtection="1">
      <protection hidden="1"/>
    </xf>
    <xf numFmtId="1" fontId="21" fillId="15" borderId="0" xfId="2" applyNumberFormat="1" applyFont="1" applyFill="1" applyProtection="1">
      <protection hidden="1"/>
    </xf>
    <xf numFmtId="0" fontId="0" fillId="15" borderId="0" xfId="0" applyFill="1" applyAlignment="1" applyProtection="1">
      <alignment horizontal="center"/>
      <protection hidden="1"/>
    </xf>
    <xf numFmtId="1" fontId="0" fillId="15" borderId="0" xfId="0" applyNumberFormat="1" applyFill="1" applyAlignment="1" applyProtection="1">
      <alignment horizontal="center"/>
      <protection hidden="1"/>
    </xf>
    <xf numFmtId="0" fontId="16" fillId="15" borderId="38" xfId="0" applyFont="1" applyFill="1" applyBorder="1" applyAlignment="1" applyProtection="1">
      <alignment horizontal="center"/>
      <protection hidden="1"/>
    </xf>
    <xf numFmtId="2" fontId="0" fillId="15" borderId="0" xfId="0" applyNumberFormat="1" applyFill="1" applyAlignment="1" applyProtection="1">
      <alignment horizontal="center"/>
      <protection hidden="1"/>
    </xf>
    <xf numFmtId="0" fontId="12" fillId="15" borderId="42" xfId="0" applyFont="1" applyFill="1" applyBorder="1" applyProtection="1">
      <protection hidden="1"/>
    </xf>
    <xf numFmtId="168" fontId="0" fillId="15" borderId="0" xfId="0" applyNumberFormat="1" applyFill="1" applyAlignment="1" applyProtection="1">
      <alignment horizontal="center"/>
      <protection hidden="1"/>
    </xf>
    <xf numFmtId="0" fontId="12" fillId="15" borderId="77" xfId="0" applyFont="1" applyFill="1" applyBorder="1" applyProtection="1">
      <protection hidden="1"/>
    </xf>
    <xf numFmtId="0" fontId="12" fillId="15" borderId="76" xfId="0" applyFont="1" applyFill="1" applyBorder="1" applyProtection="1">
      <protection hidden="1"/>
    </xf>
    <xf numFmtId="169" fontId="0" fillId="15" borderId="0" xfId="0" applyNumberFormat="1" applyFill="1" applyAlignment="1" applyProtection="1">
      <alignment horizontal="center"/>
      <protection hidden="1"/>
    </xf>
    <xf numFmtId="0" fontId="12" fillId="15" borderId="0" xfId="0" applyFont="1" applyFill="1" applyProtection="1">
      <protection hidden="1"/>
    </xf>
    <xf numFmtId="165" fontId="0" fillId="15" borderId="0" xfId="0" applyNumberFormat="1" applyFill="1" applyAlignment="1" applyProtection="1">
      <alignment horizontal="center"/>
      <protection hidden="1"/>
    </xf>
    <xf numFmtId="0" fontId="34" fillId="15" borderId="51" xfId="2" applyFont="1" applyFill="1" applyBorder="1" applyProtection="1">
      <protection hidden="1"/>
    </xf>
    <xf numFmtId="0" fontId="34" fillId="15" borderId="53" xfId="2" applyFont="1" applyFill="1" applyBorder="1" applyAlignment="1" applyProtection="1">
      <alignment horizontal="right"/>
      <protection hidden="1"/>
    </xf>
    <xf numFmtId="0" fontId="34" fillId="15" borderId="52" xfId="2" applyFont="1" applyFill="1" applyBorder="1" applyProtection="1">
      <protection hidden="1"/>
    </xf>
    <xf numFmtId="1" fontId="21" fillId="15" borderId="0" xfId="2" applyNumberFormat="1" applyFont="1" applyFill="1" applyAlignment="1" applyProtection="1">
      <alignment horizontal="center"/>
      <protection hidden="1"/>
    </xf>
    <xf numFmtId="0" fontId="21" fillId="15" borderId="36" xfId="2" applyFont="1" applyFill="1" applyBorder="1" applyProtection="1">
      <protection hidden="1"/>
    </xf>
    <xf numFmtId="0" fontId="21" fillId="15" borderId="37" xfId="2" applyFont="1" applyFill="1" applyBorder="1" applyAlignment="1" applyProtection="1">
      <alignment horizontal="right"/>
      <protection hidden="1"/>
    </xf>
    <xf numFmtId="1" fontId="21" fillId="15" borderId="37" xfId="2" applyNumberFormat="1" applyFont="1" applyFill="1" applyBorder="1" applyAlignment="1" applyProtection="1">
      <alignment horizontal="center"/>
      <protection hidden="1"/>
    </xf>
    <xf numFmtId="1" fontId="21" fillId="15" borderId="34" xfId="2" applyNumberFormat="1" applyFont="1" applyFill="1" applyBorder="1" applyAlignment="1" applyProtection="1">
      <alignment horizontal="center"/>
      <protection hidden="1"/>
    </xf>
    <xf numFmtId="0" fontId="21" fillId="15" borderId="77" xfId="2" applyFont="1" applyFill="1" applyBorder="1" applyProtection="1">
      <protection hidden="1"/>
    </xf>
    <xf numFmtId="0" fontId="21" fillId="15" borderId="28" xfId="2" applyFont="1" applyFill="1" applyBorder="1" applyAlignment="1" applyProtection="1">
      <alignment horizontal="right"/>
      <protection hidden="1"/>
    </xf>
    <xf numFmtId="165" fontId="21" fillId="15" borderId="28" xfId="2" applyNumberFormat="1" applyFont="1" applyFill="1" applyBorder="1" applyAlignment="1" applyProtection="1">
      <alignment horizontal="center"/>
      <protection hidden="1"/>
    </xf>
    <xf numFmtId="165" fontId="21" fillId="15" borderId="76" xfId="2" applyNumberFormat="1" applyFont="1" applyFill="1" applyBorder="1" applyAlignment="1" applyProtection="1">
      <alignment horizontal="center"/>
      <protection hidden="1"/>
    </xf>
    <xf numFmtId="165" fontId="21" fillId="15" borderId="0" xfId="2" applyNumberFormat="1" applyFont="1" applyFill="1" applyAlignment="1" applyProtection="1">
      <alignment horizontal="center"/>
      <protection hidden="1"/>
    </xf>
    <xf numFmtId="0" fontId="12" fillId="15" borderId="0" xfId="0" applyFont="1" applyFill="1" applyAlignment="1" applyProtection="1">
      <alignment horizontal="center"/>
      <protection hidden="1"/>
    </xf>
    <xf numFmtId="3" fontId="21" fillId="15" borderId="0" xfId="2" applyNumberFormat="1" applyFont="1" applyFill="1" applyAlignment="1" applyProtection="1">
      <alignment horizontal="center"/>
      <protection hidden="1"/>
    </xf>
    <xf numFmtId="170" fontId="21" fillId="15" borderId="0" xfId="2" applyNumberFormat="1" applyFont="1" applyFill="1" applyAlignment="1" applyProtection="1">
      <alignment horizontal="center"/>
      <protection hidden="1"/>
    </xf>
    <xf numFmtId="3" fontId="12" fillId="15" borderId="0" xfId="0" applyNumberFormat="1" applyFont="1" applyFill="1" applyAlignment="1" applyProtection="1">
      <alignment horizontal="center"/>
      <protection hidden="1"/>
    </xf>
    <xf numFmtId="0" fontId="0" fillId="15" borderId="65" xfId="0" applyFill="1" applyBorder="1" applyAlignment="1" applyProtection="1">
      <alignment horizontal="center"/>
      <protection hidden="1"/>
    </xf>
    <xf numFmtId="0" fontId="21" fillId="15" borderId="67" xfId="2" applyFont="1" applyFill="1" applyBorder="1" applyAlignment="1" applyProtection="1">
      <alignment horizontal="left"/>
      <protection hidden="1"/>
    </xf>
    <xf numFmtId="1" fontId="12" fillId="15" borderId="0" xfId="0" applyNumberFormat="1" applyFont="1" applyFill="1" applyAlignment="1" applyProtection="1">
      <alignment horizontal="center"/>
      <protection hidden="1"/>
    </xf>
    <xf numFmtId="165" fontId="12" fillId="15" borderId="0" xfId="0" applyNumberFormat="1" applyFont="1" applyFill="1" applyAlignment="1" applyProtection="1">
      <alignment horizontal="center"/>
      <protection hidden="1"/>
    </xf>
    <xf numFmtId="0" fontId="21" fillId="15" borderId="101" xfId="2" applyFont="1" applyFill="1" applyBorder="1" applyAlignment="1" applyProtection="1">
      <alignment horizontal="left"/>
      <protection hidden="1"/>
    </xf>
    <xf numFmtId="2" fontId="12" fillId="15" borderId="0" xfId="0" applyNumberFormat="1" applyFont="1" applyFill="1" applyAlignment="1" applyProtection="1">
      <alignment horizontal="center"/>
      <protection hidden="1"/>
    </xf>
    <xf numFmtId="0" fontId="12" fillId="13" borderId="28" xfId="0" applyFont="1" applyFill="1" applyBorder="1" applyAlignment="1" applyProtection="1">
      <alignment horizontal="center"/>
      <protection locked="0" hidden="1"/>
    </xf>
    <xf numFmtId="0" fontId="12" fillId="13" borderId="0" xfId="0" applyFont="1" applyFill="1" applyAlignment="1" applyProtection="1">
      <alignment horizontal="center"/>
      <protection locked="0" hidden="1"/>
    </xf>
    <xf numFmtId="0" fontId="12" fillId="13" borderId="0" xfId="4" applyFill="1" applyAlignment="1" applyProtection="1">
      <alignment horizontal="center" vertical="center"/>
      <protection locked="0" hidden="1"/>
    </xf>
    <xf numFmtId="0" fontId="16" fillId="0" borderId="103" xfId="0" applyFont="1" applyBorder="1" applyAlignment="1" applyProtection="1">
      <alignment horizontal="center"/>
      <protection locked="0" hidden="1"/>
    </xf>
    <xf numFmtId="0" fontId="16" fillId="0" borderId="104" xfId="0" applyFont="1" applyBorder="1" applyAlignment="1" applyProtection="1">
      <alignment horizontal="center"/>
      <protection locked="0" hidden="1"/>
    </xf>
    <xf numFmtId="0" fontId="16" fillId="0" borderId="111" xfId="0" applyFont="1" applyBorder="1" applyAlignment="1" applyProtection="1">
      <alignment horizontal="center"/>
      <protection locked="0" hidden="1"/>
    </xf>
    <xf numFmtId="0" fontId="16" fillId="0" borderId="106" xfId="0" applyFont="1" applyBorder="1" applyAlignment="1" applyProtection="1">
      <alignment horizontal="center"/>
      <protection locked="0" hidden="1"/>
    </xf>
    <xf numFmtId="0" fontId="16" fillId="0" borderId="107" xfId="0" applyFont="1" applyBorder="1" applyAlignment="1" applyProtection="1">
      <alignment horizontal="center"/>
      <protection locked="0" hidden="1"/>
    </xf>
    <xf numFmtId="0" fontId="16" fillId="0" borderId="105" xfId="0" applyFont="1" applyBorder="1" applyAlignment="1" applyProtection="1">
      <alignment horizontal="center"/>
      <protection locked="0" hidden="1"/>
    </xf>
    <xf numFmtId="0" fontId="16" fillId="0" borderId="108" xfId="0" applyFont="1" applyBorder="1" applyAlignment="1" applyProtection="1">
      <alignment horizontal="center"/>
      <protection locked="0" hidden="1"/>
    </xf>
    <xf numFmtId="0" fontId="16" fillId="0" borderId="114" xfId="0" applyFont="1" applyBorder="1" applyAlignment="1" applyProtection="1">
      <alignment horizontal="center"/>
      <protection locked="0" hidden="1"/>
    </xf>
    <xf numFmtId="0" fontId="11" fillId="0" borderId="54" xfId="2" applyFont="1" applyBorder="1" applyAlignment="1" applyProtection="1">
      <alignment vertical="center"/>
      <protection hidden="1"/>
    </xf>
    <xf numFmtId="0" fontId="11" fillId="0" borderId="74" xfId="2" applyFont="1" applyBorder="1" applyAlignment="1" applyProtection="1">
      <alignment vertical="center"/>
      <protection hidden="1"/>
    </xf>
    <xf numFmtId="0" fontId="11" fillId="0" borderId="40" xfId="2" applyFont="1" applyBorder="1" applyAlignment="1" applyProtection="1">
      <alignment vertical="center"/>
      <protection hidden="1"/>
    </xf>
    <xf numFmtId="0" fontId="11" fillId="0" borderId="38" xfId="2" applyFont="1" applyBorder="1" applyAlignment="1" applyProtection="1">
      <alignment vertical="center"/>
      <protection hidden="1"/>
    </xf>
    <xf numFmtId="0" fontId="0" fillId="0" borderId="27" xfId="0" applyBorder="1" applyProtection="1">
      <protection hidden="1"/>
    </xf>
    <xf numFmtId="0" fontId="15" fillId="14" borderId="116" xfId="0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 wrapText="1"/>
      <protection hidden="1"/>
    </xf>
    <xf numFmtId="0" fontId="12" fillId="14" borderId="30" xfId="4" applyFill="1" applyBorder="1" applyAlignment="1" applyProtection="1">
      <alignment horizontal="center" vertical="center"/>
      <protection hidden="1"/>
    </xf>
    <xf numFmtId="1" fontId="12" fillId="14" borderId="30" xfId="4" applyNumberFormat="1" applyFill="1" applyBorder="1" applyAlignment="1" applyProtection="1">
      <alignment horizontal="center" vertical="center"/>
      <protection hidden="1"/>
    </xf>
    <xf numFmtId="0" fontId="12" fillId="14" borderId="30" xfId="0" applyFont="1" applyFill="1" applyBorder="1" applyAlignment="1" applyProtection="1">
      <alignment horizontal="center" vertical="center"/>
      <protection hidden="1"/>
    </xf>
    <xf numFmtId="0" fontId="50" fillId="0" borderId="0" xfId="5" applyProtection="1">
      <protection hidden="1"/>
    </xf>
    <xf numFmtId="0" fontId="0" fillId="14" borderId="1" xfId="0" applyFill="1" applyBorder="1" applyProtection="1">
      <protection hidden="1"/>
    </xf>
    <xf numFmtId="0" fontId="21" fillId="14" borderId="0" xfId="2" applyFont="1" applyFill="1" applyProtection="1">
      <protection hidden="1"/>
    </xf>
    <xf numFmtId="0" fontId="34" fillId="0" borderId="15" xfId="2" applyFont="1" applyBorder="1" applyAlignment="1" applyProtection="1">
      <alignment horizontal="center"/>
      <protection hidden="1"/>
    </xf>
    <xf numFmtId="0" fontId="21" fillId="14" borderId="14" xfId="2" applyFont="1" applyFill="1" applyBorder="1" applyProtection="1">
      <protection hidden="1"/>
    </xf>
    <xf numFmtId="0" fontId="34" fillId="0" borderId="13" xfId="2" applyFont="1" applyBorder="1" applyAlignment="1" applyProtection="1">
      <alignment horizontal="center"/>
      <protection hidden="1"/>
    </xf>
    <xf numFmtId="1" fontId="4" fillId="8" borderId="0" xfId="0" applyNumberFormat="1" applyFont="1" applyFill="1" applyAlignment="1" applyProtection="1">
      <alignment horizontal="center" vertical="center"/>
      <protection hidden="1"/>
    </xf>
    <xf numFmtId="20" fontId="7" fillId="21" borderId="17" xfId="2" quotePrefix="1" applyNumberFormat="1" applyFill="1" applyBorder="1" applyAlignment="1" applyProtection="1">
      <alignment horizontal="center"/>
      <protection hidden="1"/>
    </xf>
    <xf numFmtId="16" fontId="7" fillId="21" borderId="12" xfId="2" quotePrefix="1" applyNumberFormat="1" applyFill="1" applyBorder="1" applyAlignment="1" applyProtection="1">
      <alignment horizontal="center"/>
      <protection hidden="1"/>
    </xf>
    <xf numFmtId="0" fontId="7" fillId="21" borderId="12" xfId="2" quotePrefix="1" applyFill="1" applyBorder="1" applyAlignment="1" applyProtection="1">
      <alignment horizontal="center"/>
      <protection hidden="1"/>
    </xf>
    <xf numFmtId="0" fontId="9" fillId="18" borderId="67" xfId="2" applyFont="1" applyFill="1" applyBorder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1" fontId="3" fillId="0" borderId="0" xfId="0" applyNumberFormat="1" applyFont="1" applyAlignment="1" applyProtection="1">
      <alignment horizontal="center"/>
      <protection hidden="1"/>
    </xf>
    <xf numFmtId="0" fontId="3" fillId="0" borderId="0" xfId="4" applyFont="1" applyAlignment="1" applyProtection="1">
      <alignment horizontal="center" vertical="center"/>
      <protection hidden="1"/>
    </xf>
    <xf numFmtId="0" fontId="7" fillId="5" borderId="12" xfId="2" quotePrefix="1" applyFill="1" applyBorder="1" applyAlignment="1" applyProtection="1">
      <alignment horizontal="center"/>
      <protection hidden="1"/>
    </xf>
    <xf numFmtId="0" fontId="7" fillId="4" borderId="12" xfId="2" quotePrefix="1" applyFill="1" applyBorder="1" applyAlignment="1" applyProtection="1">
      <alignment horizontal="center"/>
      <protection hidden="1"/>
    </xf>
    <xf numFmtId="0" fontId="9" fillId="18" borderId="101" xfId="2" applyFont="1" applyFill="1" applyBorder="1" applyAlignment="1" applyProtection="1">
      <alignment horizontal="left"/>
      <protection hidden="1"/>
    </xf>
    <xf numFmtId="0" fontId="7" fillId="2" borderId="12" xfId="2" quotePrefix="1" applyFill="1" applyBorder="1" applyAlignment="1" applyProtection="1">
      <alignment horizontal="center"/>
      <protection hidden="1"/>
    </xf>
    <xf numFmtId="0" fontId="7" fillId="3" borderId="12" xfId="2" quotePrefix="1" applyFill="1" applyBorder="1" applyAlignment="1" applyProtection="1">
      <alignment horizontal="center"/>
      <protection hidden="1"/>
    </xf>
    <xf numFmtId="0" fontId="7" fillId="20" borderId="11" xfId="2" quotePrefix="1" applyFill="1" applyBorder="1" applyAlignment="1" applyProtection="1">
      <alignment horizontal="center"/>
      <protection hidden="1"/>
    </xf>
    <xf numFmtId="0" fontId="12" fillId="13" borderId="98" xfId="0" applyFont="1" applyFill="1" applyBorder="1" applyAlignment="1" applyProtection="1">
      <alignment horizontal="center"/>
      <protection locked="0" hidden="1"/>
    </xf>
    <xf numFmtId="0" fontId="16" fillId="14" borderId="1" xfId="4" applyFont="1" applyFill="1" applyBorder="1" applyAlignment="1" applyProtection="1">
      <alignment horizontal="center" vertical="center"/>
      <protection hidden="1"/>
    </xf>
    <xf numFmtId="0" fontId="16" fillId="14" borderId="14" xfId="4" applyFont="1" applyFill="1" applyBorder="1" applyAlignment="1" applyProtection="1">
      <alignment horizontal="center" vertical="center"/>
      <protection hidden="1"/>
    </xf>
    <xf numFmtId="0" fontId="16" fillId="14" borderId="14" xfId="0" applyFont="1" applyFill="1" applyBorder="1" applyAlignment="1" applyProtection="1">
      <alignment horizontal="center" vertical="center"/>
      <protection hidden="1"/>
    </xf>
    <xf numFmtId="1" fontId="12" fillId="14" borderId="14" xfId="0" applyNumberFormat="1" applyFont="1" applyFill="1" applyBorder="1" applyAlignment="1" applyProtection="1">
      <alignment horizontal="center"/>
      <protection hidden="1"/>
    </xf>
    <xf numFmtId="0" fontId="7" fillId="10" borderId="11" xfId="2" quotePrefix="1" applyFill="1" applyBorder="1" applyAlignment="1" applyProtection="1">
      <alignment horizontal="center"/>
      <protection hidden="1"/>
    </xf>
    <xf numFmtId="14" fontId="18" fillId="0" borderId="76" xfId="0" applyNumberFormat="1" applyFont="1" applyBorder="1" applyProtection="1">
      <protection locked="0" hidden="1"/>
    </xf>
    <xf numFmtId="0" fontId="12" fillId="13" borderId="14" xfId="0" applyFont="1" applyFill="1" applyBorder="1" applyAlignment="1" applyProtection="1">
      <alignment horizontal="center"/>
      <protection locked="0" hidden="1"/>
    </xf>
    <xf numFmtId="0" fontId="12" fillId="13" borderId="14" xfId="4" applyFill="1" applyBorder="1" applyAlignment="1" applyProtection="1">
      <alignment horizontal="center" vertical="center"/>
      <protection locked="0" hidden="1"/>
    </xf>
    <xf numFmtId="0" fontId="22" fillId="0" borderId="4" xfId="0" applyFont="1" applyBorder="1" applyAlignment="1" applyProtection="1">
      <alignment horizontal="left"/>
      <protection hidden="1"/>
    </xf>
    <xf numFmtId="1" fontId="22" fillId="0" borderId="17" xfId="2" applyNumberFormat="1" applyFont="1" applyBorder="1" applyAlignment="1" applyProtection="1">
      <alignment horizontal="left"/>
      <protection hidden="1"/>
    </xf>
    <xf numFmtId="1" fontId="22" fillId="0" borderId="10" xfId="2" applyNumberFormat="1" applyFont="1" applyBorder="1" applyAlignment="1" applyProtection="1">
      <alignment horizontal="left"/>
      <protection hidden="1"/>
    </xf>
    <xf numFmtId="0" fontId="22" fillId="0" borderId="61" xfId="2" applyFont="1" applyBorder="1" applyAlignment="1" applyProtection="1">
      <alignment horizontal="left"/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4" fillId="0" borderId="22" xfId="0" applyFont="1" applyBorder="1" applyAlignment="1" applyProtection="1">
      <alignment horizontal="center"/>
      <protection hidden="1"/>
    </xf>
    <xf numFmtId="0" fontId="4" fillId="0" borderId="18" xfId="0" applyFont="1" applyBorder="1" applyAlignment="1" applyProtection="1">
      <alignment horizontal="center"/>
      <protection hidden="1"/>
    </xf>
    <xf numFmtId="0" fontId="4" fillId="0" borderId="19" xfId="0" applyFont="1" applyBorder="1" applyAlignment="1" applyProtection="1">
      <alignment horizontal="center"/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17" fillId="0" borderId="51" xfId="0" applyFont="1" applyBorder="1" applyAlignment="1" applyProtection="1">
      <alignment horizontal="center"/>
      <protection hidden="1"/>
    </xf>
    <xf numFmtId="0" fontId="17" fillId="0" borderId="52" xfId="0" applyFont="1" applyBorder="1" applyAlignment="1" applyProtection="1">
      <alignment horizontal="center"/>
      <protection hidden="1"/>
    </xf>
    <xf numFmtId="0" fontId="4" fillId="0" borderId="54" xfId="0" applyFont="1" applyBorder="1" applyAlignment="1" applyProtection="1">
      <alignment horizontal="center"/>
      <protection hidden="1"/>
    </xf>
    <xf numFmtId="0" fontId="12" fillId="0" borderId="48" xfId="0" applyFont="1" applyBorder="1" applyProtection="1">
      <protection hidden="1"/>
    </xf>
    <xf numFmtId="1" fontId="31" fillId="8" borderId="45" xfId="2" applyNumberFormat="1" applyFont="1" applyFill="1" applyBorder="1" applyAlignment="1" applyProtection="1">
      <alignment horizontal="center"/>
      <protection hidden="1"/>
    </xf>
    <xf numFmtId="0" fontId="5" fillId="8" borderId="45" xfId="0" applyFont="1" applyFill="1" applyBorder="1" applyAlignment="1" applyProtection="1">
      <alignment horizontal="center"/>
      <protection hidden="1"/>
    </xf>
    <xf numFmtId="1" fontId="22" fillId="0" borderId="40" xfId="2" applyNumberFormat="1" applyFont="1" applyBorder="1" applyAlignment="1" applyProtection="1">
      <alignment horizontal="center"/>
      <protection hidden="1"/>
    </xf>
    <xf numFmtId="3" fontId="4" fillId="13" borderId="5" xfId="0" applyNumberFormat="1" applyFont="1" applyFill="1" applyBorder="1" applyAlignment="1" applyProtection="1">
      <alignment horizontal="center"/>
      <protection hidden="1"/>
    </xf>
    <xf numFmtId="0" fontId="24" fillId="6" borderId="119" xfId="3" applyFont="1" applyFill="1" applyBorder="1" applyAlignment="1" applyProtection="1">
      <alignment horizontal="left"/>
      <protection hidden="1"/>
    </xf>
    <xf numFmtId="1" fontId="17" fillId="0" borderId="40" xfId="0" applyNumberFormat="1" applyFont="1" applyBorder="1" applyAlignment="1" applyProtection="1">
      <alignment horizontal="center"/>
      <protection hidden="1"/>
    </xf>
    <xf numFmtId="1" fontId="17" fillId="0" borderId="45" xfId="0" quotePrefix="1" applyNumberFormat="1" applyFont="1" applyBorder="1" applyAlignment="1" applyProtection="1">
      <alignment horizontal="center"/>
      <protection hidden="1"/>
    </xf>
    <xf numFmtId="0" fontId="5" fillId="8" borderId="48" xfId="0" applyFont="1" applyFill="1" applyBorder="1" applyAlignment="1" applyProtection="1">
      <alignment horizontal="center"/>
      <protection hidden="1"/>
    </xf>
    <xf numFmtId="166" fontId="4" fillId="0" borderId="9" xfId="0" applyNumberFormat="1" applyFont="1" applyBorder="1" applyAlignment="1" applyProtection="1">
      <alignment horizontal="center"/>
      <protection hidden="1"/>
    </xf>
    <xf numFmtId="166" fontId="4" fillId="0" borderId="24" xfId="0" applyNumberFormat="1" applyFont="1" applyBorder="1" applyAlignment="1" applyProtection="1">
      <alignment horizontal="center"/>
      <protection hidden="1"/>
    </xf>
    <xf numFmtId="0" fontId="4" fillId="0" borderId="40" xfId="0" applyFont="1" applyBorder="1" applyAlignment="1" applyProtection="1">
      <alignment horizontal="center"/>
      <protection hidden="1"/>
    </xf>
    <xf numFmtId="0" fontId="12" fillId="0" borderId="45" xfId="0" applyFont="1" applyBorder="1" applyProtection="1">
      <protection hidden="1"/>
    </xf>
    <xf numFmtId="0" fontId="31" fillId="8" borderId="40" xfId="2" applyFont="1" applyFill="1" applyBorder="1" applyAlignment="1" applyProtection="1">
      <alignment horizontal="center"/>
      <protection hidden="1"/>
    </xf>
    <xf numFmtId="0" fontId="31" fillId="8" borderId="0" xfId="2" applyFont="1" applyFill="1" applyAlignment="1" applyProtection="1">
      <alignment horizontal="center"/>
      <protection hidden="1"/>
    </xf>
    <xf numFmtId="1" fontId="31" fillId="8" borderId="0" xfId="2" applyNumberFormat="1" applyFont="1" applyFill="1" applyAlignment="1" applyProtection="1">
      <alignment horizontal="center"/>
      <protection hidden="1"/>
    </xf>
    <xf numFmtId="166" fontId="4" fillId="0" borderId="6" xfId="0" applyNumberFormat="1" applyFont="1" applyBorder="1" applyAlignment="1" applyProtection="1">
      <alignment horizontal="center"/>
      <protection hidden="1"/>
    </xf>
    <xf numFmtId="166" fontId="4" fillId="0" borderId="5" xfId="0" applyNumberFormat="1" applyFont="1" applyBorder="1" applyAlignment="1" applyProtection="1">
      <alignment horizontal="center"/>
      <protection hidden="1"/>
    </xf>
    <xf numFmtId="0" fontId="24" fillId="6" borderId="62" xfId="3" applyFont="1" applyFill="1" applyBorder="1" applyProtection="1">
      <protection hidden="1"/>
    </xf>
    <xf numFmtId="0" fontId="24" fillId="0" borderId="62" xfId="3" applyFont="1" applyBorder="1" applyProtection="1">
      <protection hidden="1"/>
    </xf>
    <xf numFmtId="0" fontId="22" fillId="0" borderId="0" xfId="2" applyFont="1" applyProtection="1">
      <protection hidden="1"/>
    </xf>
    <xf numFmtId="0" fontId="22" fillId="0" borderId="0" xfId="2" applyFont="1" applyAlignment="1" applyProtection="1">
      <alignment horizontal="center"/>
      <protection hidden="1"/>
    </xf>
    <xf numFmtId="0" fontId="22" fillId="0" borderId="45" xfId="2" applyFont="1" applyBorder="1" applyAlignment="1" applyProtection="1">
      <alignment horizontal="center"/>
      <protection hidden="1"/>
    </xf>
    <xf numFmtId="0" fontId="5" fillId="8" borderId="2" xfId="0" applyFont="1" applyFill="1" applyBorder="1" applyAlignment="1" applyProtection="1">
      <alignment horizontal="center"/>
      <protection hidden="1"/>
    </xf>
    <xf numFmtId="0" fontId="31" fillId="8" borderId="45" xfId="2" applyFont="1" applyFill="1" applyBorder="1" applyAlignment="1" applyProtection="1">
      <alignment horizontal="center"/>
      <protection hidden="1"/>
    </xf>
    <xf numFmtId="0" fontId="22" fillId="0" borderId="1" xfId="0" applyFont="1" applyBorder="1" applyAlignment="1" applyProtection="1">
      <alignment horizontal="center"/>
      <protection hidden="1"/>
    </xf>
    <xf numFmtId="1" fontId="31" fillId="8" borderId="2" xfId="2" applyNumberFormat="1" applyFont="1" applyFill="1" applyBorder="1" applyAlignment="1" applyProtection="1">
      <alignment horizontal="center"/>
      <protection hidden="1"/>
    </xf>
    <xf numFmtId="1" fontId="22" fillId="0" borderId="1" xfId="2" applyNumberFormat="1" applyFont="1" applyBorder="1" applyAlignment="1" applyProtection="1">
      <alignment horizontal="center"/>
      <protection hidden="1"/>
    </xf>
    <xf numFmtId="0" fontId="4" fillId="0" borderId="48" xfId="0" applyFont="1" applyBorder="1" applyAlignment="1" applyProtection="1">
      <alignment horizontal="center"/>
      <protection hidden="1"/>
    </xf>
    <xf numFmtId="0" fontId="22" fillId="0" borderId="1" xfId="2" applyFont="1" applyBorder="1" applyAlignment="1" applyProtection="1">
      <alignment horizontal="center"/>
      <protection hidden="1"/>
    </xf>
    <xf numFmtId="0" fontId="22" fillId="0" borderId="14" xfId="2" applyFont="1" applyBorder="1" applyAlignment="1" applyProtection="1">
      <alignment horizontal="center"/>
      <protection hidden="1"/>
    </xf>
    <xf numFmtId="0" fontId="31" fillId="8" borderId="14" xfId="2" applyFont="1" applyFill="1" applyBorder="1" applyAlignment="1" applyProtection="1">
      <alignment horizontal="center"/>
      <protection hidden="1"/>
    </xf>
    <xf numFmtId="0" fontId="31" fillId="8" borderId="2" xfId="2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12" fillId="0" borderId="2" xfId="0" applyFont="1" applyBorder="1" applyProtection="1">
      <protection hidden="1"/>
    </xf>
    <xf numFmtId="0" fontId="12" fillId="0" borderId="40" xfId="0" applyFont="1" applyBorder="1" applyProtection="1">
      <protection hidden="1"/>
    </xf>
    <xf numFmtId="0" fontId="21" fillId="0" borderId="45" xfId="2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center"/>
      <protection hidden="1"/>
    </xf>
    <xf numFmtId="0" fontId="12" fillId="0" borderId="16" xfId="0" applyFont="1" applyBorder="1" applyAlignment="1" applyProtection="1">
      <alignment horizontal="center"/>
      <protection hidden="1"/>
    </xf>
    <xf numFmtId="0" fontId="21" fillId="0" borderId="13" xfId="2" applyFont="1" applyBorder="1" applyAlignment="1" applyProtection="1">
      <alignment horizontal="center"/>
      <protection hidden="1"/>
    </xf>
    <xf numFmtId="0" fontId="12" fillId="0" borderId="16" xfId="2" applyFont="1" applyBorder="1" applyAlignment="1" applyProtection="1">
      <alignment horizontal="center"/>
      <protection hidden="1"/>
    </xf>
    <xf numFmtId="0" fontId="21" fillId="0" borderId="16" xfId="2" applyFont="1" applyBorder="1" applyAlignment="1" applyProtection="1">
      <alignment horizontal="center"/>
      <protection hidden="1"/>
    </xf>
    <xf numFmtId="0" fontId="21" fillId="0" borderId="40" xfId="0" applyFont="1" applyBorder="1" applyAlignment="1" applyProtection="1">
      <alignment horizontal="center"/>
      <protection hidden="1"/>
    </xf>
    <xf numFmtId="0" fontId="22" fillId="0" borderId="40" xfId="2" applyFont="1" applyBorder="1" applyAlignment="1" applyProtection="1">
      <alignment horizontal="center"/>
      <protection hidden="1"/>
    </xf>
    <xf numFmtId="0" fontId="21" fillId="0" borderId="2" xfId="2" applyFont="1" applyBorder="1" applyAlignment="1" applyProtection="1">
      <alignment horizontal="left"/>
      <protection hidden="1"/>
    </xf>
    <xf numFmtId="166" fontId="4" fillId="0" borderId="8" xfId="0" applyNumberFormat="1" applyFont="1" applyBorder="1" applyAlignment="1" applyProtection="1">
      <alignment horizontal="center"/>
      <protection hidden="1"/>
    </xf>
    <xf numFmtId="166" fontId="4" fillId="0" borderId="7" xfId="0" applyNumberFormat="1" applyFont="1" applyBorder="1" applyAlignment="1" applyProtection="1">
      <alignment horizontal="center"/>
      <protection hidden="1"/>
    </xf>
    <xf numFmtId="0" fontId="21" fillId="0" borderId="13" xfId="2" applyFont="1" applyBorder="1" applyAlignment="1" applyProtection="1">
      <alignment horizontal="left"/>
      <protection hidden="1"/>
    </xf>
    <xf numFmtId="0" fontId="21" fillId="0" borderId="16" xfId="2" applyFont="1" applyBorder="1" applyAlignment="1" applyProtection="1">
      <alignment horizontal="left"/>
      <protection hidden="1"/>
    </xf>
    <xf numFmtId="0" fontId="24" fillId="6" borderId="16" xfId="3" applyFont="1" applyFill="1" applyBorder="1" applyAlignment="1" applyProtection="1">
      <alignment horizontal="left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21" fillId="0" borderId="1" xfId="0" applyFont="1" applyBorder="1" applyAlignment="1" applyProtection="1">
      <alignment horizontal="center"/>
      <protection hidden="1"/>
    </xf>
    <xf numFmtId="0" fontId="24" fillId="0" borderId="16" xfId="3" applyFont="1" applyBorder="1" applyAlignment="1" applyProtection="1">
      <alignment horizontal="left"/>
      <protection hidden="1"/>
    </xf>
    <xf numFmtId="0" fontId="4" fillId="0" borderId="15" xfId="0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24" fillId="0" borderId="40" xfId="3" applyFont="1" applyBorder="1" applyProtection="1">
      <protection hidden="1"/>
    </xf>
    <xf numFmtId="3" fontId="4" fillId="13" borderId="7" xfId="0" applyNumberFormat="1" applyFont="1" applyFill="1" applyBorder="1" applyAlignment="1" applyProtection="1">
      <alignment horizontal="center"/>
      <protection hidden="1"/>
    </xf>
    <xf numFmtId="0" fontId="12" fillId="2" borderId="40" xfId="0" applyFont="1" applyFill="1" applyBorder="1" applyProtection="1">
      <protection hidden="1"/>
    </xf>
    <xf numFmtId="0" fontId="12" fillId="2" borderId="27" xfId="0" applyFont="1" applyFill="1" applyBorder="1" applyProtection="1">
      <protection hidden="1"/>
    </xf>
    <xf numFmtId="0" fontId="16" fillId="0" borderId="51" xfId="0" applyFont="1" applyBorder="1" applyAlignment="1" applyProtection="1">
      <alignment horizontal="center"/>
      <protection hidden="1"/>
    </xf>
    <xf numFmtId="0" fontId="24" fillId="0" borderId="78" xfId="3" applyFont="1" applyBorder="1" applyAlignment="1" applyProtection="1">
      <alignment horizontal="center"/>
      <protection hidden="1"/>
    </xf>
    <xf numFmtId="0" fontId="24" fillId="0" borderId="79" xfId="3" applyFont="1" applyBorder="1" applyAlignment="1" applyProtection="1">
      <alignment horizontal="center"/>
      <protection hidden="1"/>
    </xf>
    <xf numFmtId="0" fontId="24" fillId="2" borderId="62" xfId="3" applyFont="1" applyFill="1" applyBorder="1" applyProtection="1">
      <protection hidden="1"/>
    </xf>
    <xf numFmtId="0" fontId="24" fillId="2" borderId="79" xfId="3" applyFont="1" applyFill="1" applyBorder="1" applyAlignment="1" applyProtection="1">
      <alignment horizontal="center"/>
      <protection hidden="1"/>
    </xf>
    <xf numFmtId="0" fontId="24" fillId="2" borderId="63" xfId="3" applyFont="1" applyFill="1" applyBorder="1" applyProtection="1">
      <protection hidden="1"/>
    </xf>
    <xf numFmtId="0" fontId="24" fillId="2" borderId="80" xfId="3" applyFont="1" applyFill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0" fillId="0" borderId="23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10" xfId="0" applyBorder="1" applyAlignment="1" applyProtection="1">
      <alignment horizontal="left"/>
      <protection hidden="1"/>
    </xf>
    <xf numFmtId="0" fontId="0" fillId="0" borderId="52" xfId="0" applyBorder="1" applyAlignment="1" applyProtection="1">
      <alignment horizontal="center"/>
      <protection hidden="1"/>
    </xf>
    <xf numFmtId="0" fontId="0" fillId="0" borderId="54" xfId="0" applyBorder="1" applyProtection="1"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48" xfId="0" applyBorder="1" applyProtection="1">
      <protection hidden="1"/>
    </xf>
    <xf numFmtId="0" fontId="0" fillId="0" borderId="25" xfId="0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40" xfId="0" quotePrefix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0" fillId="0" borderId="45" xfId="0" applyNumberFormat="1" applyBorder="1" applyAlignment="1" applyProtection="1">
      <alignment horizontal="center"/>
      <protection hidden="1"/>
    </xf>
    <xf numFmtId="20" fontId="21" fillId="21" borderId="17" xfId="2" quotePrefix="1" applyNumberFormat="1" applyFont="1" applyFill="1" applyBorder="1" applyAlignment="1" applyProtection="1">
      <alignment horizontal="center"/>
      <protection hidden="1"/>
    </xf>
    <xf numFmtId="0" fontId="21" fillId="0" borderId="48" xfId="2" applyFont="1" applyBorder="1" applyProtection="1">
      <protection hidden="1"/>
    </xf>
    <xf numFmtId="167" fontId="0" fillId="0" borderId="0" xfId="0" applyNumberFormat="1" applyAlignment="1" applyProtection="1">
      <alignment horizontal="center"/>
      <protection hidden="1"/>
    </xf>
    <xf numFmtId="0" fontId="12" fillId="0" borderId="54" xfId="0" applyFont="1" applyBorder="1" applyAlignment="1" applyProtection="1">
      <alignment vertical="center"/>
      <protection hidden="1"/>
    </xf>
    <xf numFmtId="0" fontId="22" fillId="0" borderId="54" xfId="2" applyFont="1" applyBorder="1" applyAlignment="1" applyProtection="1">
      <alignment horizontal="center"/>
      <protection hidden="1"/>
    </xf>
    <xf numFmtId="0" fontId="22" fillId="0" borderId="49" xfId="2" applyFont="1" applyBorder="1" applyAlignment="1" applyProtection="1">
      <alignment horizontal="center"/>
      <protection hidden="1"/>
    </xf>
    <xf numFmtId="0" fontId="22" fillId="0" borderId="48" xfId="2" applyFont="1" applyBorder="1" applyAlignment="1" applyProtection="1">
      <alignment horizontal="center"/>
      <protection hidden="1"/>
    </xf>
    <xf numFmtId="0" fontId="21" fillId="0" borderId="40" xfId="2" applyFont="1" applyBorder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8" borderId="45" xfId="0" applyFill="1" applyBorder="1" applyAlignment="1" applyProtection="1">
      <alignment horizontal="center"/>
      <protection hidden="1"/>
    </xf>
    <xf numFmtId="0" fontId="12" fillId="0" borderId="12" xfId="0" applyFont="1" applyBorder="1" applyAlignment="1" applyProtection="1">
      <alignment horizontal="center" vertical="center"/>
      <protection hidden="1"/>
    </xf>
    <xf numFmtId="16" fontId="21" fillId="21" borderId="12" xfId="2" quotePrefix="1" applyNumberFormat="1" applyFont="1" applyFill="1" applyBorder="1" applyAlignment="1" applyProtection="1">
      <alignment horizontal="center"/>
      <protection hidden="1"/>
    </xf>
    <xf numFmtId="0" fontId="21" fillId="0" borderId="45" xfId="2" applyFont="1" applyBorder="1" applyProtection="1">
      <protection hidden="1"/>
    </xf>
    <xf numFmtId="0" fontId="12" fillId="0" borderId="40" xfId="0" applyFont="1" applyBorder="1" applyAlignment="1" applyProtection="1">
      <alignment vertical="center"/>
      <protection hidden="1"/>
    </xf>
    <xf numFmtId="0" fontId="21" fillId="21" borderId="12" xfId="2" quotePrefix="1" applyFont="1" applyFill="1" applyBorder="1" applyAlignment="1" applyProtection="1">
      <alignment horizontal="center"/>
      <protection hidden="1"/>
    </xf>
    <xf numFmtId="0" fontId="0" fillId="0" borderId="45" xfId="0" applyBorder="1" applyProtection="1">
      <protection hidden="1"/>
    </xf>
    <xf numFmtId="0" fontId="21" fillId="5" borderId="12" xfId="2" quotePrefix="1" applyFont="1" applyFill="1" applyBorder="1" applyAlignment="1" applyProtection="1">
      <alignment horizontal="center"/>
      <protection hidden="1"/>
    </xf>
    <xf numFmtId="0" fontId="12" fillId="0" borderId="1" xfId="0" applyFont="1" applyBorder="1" applyAlignment="1" applyProtection="1">
      <alignment vertical="center"/>
      <protection hidden="1"/>
    </xf>
    <xf numFmtId="0" fontId="21" fillId="0" borderId="1" xfId="2" applyFont="1" applyBorder="1" applyAlignment="1" applyProtection="1">
      <alignment horizontal="center"/>
      <protection hidden="1"/>
    </xf>
    <xf numFmtId="0" fontId="0" fillId="8" borderId="14" xfId="0" applyFill="1" applyBorder="1" applyAlignment="1" applyProtection="1">
      <alignment horizontal="center"/>
      <protection hidden="1"/>
    </xf>
    <xf numFmtId="0" fontId="0" fillId="8" borderId="2" xfId="0" applyFill="1" applyBorder="1" applyAlignment="1" applyProtection="1">
      <alignment horizont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1" fillId="0" borderId="15" xfId="2" applyFont="1" applyBorder="1" applyAlignment="1" applyProtection="1">
      <alignment horizontal="center"/>
      <protection hidden="1"/>
    </xf>
    <xf numFmtId="0" fontId="21" fillId="4" borderId="12" xfId="2" quotePrefix="1" applyFont="1" applyFill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0" fontId="21" fillId="0" borderId="0" xfId="0" applyFont="1" applyAlignment="1" applyProtection="1">
      <alignment horizontal="center"/>
      <protection hidden="1"/>
    </xf>
    <xf numFmtId="0" fontId="21" fillId="2" borderId="12" xfId="2" quotePrefix="1" applyFont="1" applyFill="1" applyBorder="1" applyAlignment="1" applyProtection="1">
      <alignment horizontal="center"/>
      <protection hidden="1"/>
    </xf>
    <xf numFmtId="0" fontId="21" fillId="3" borderId="12" xfId="2" quotePrefix="1" applyFont="1" applyFill="1" applyBorder="1" applyAlignment="1" applyProtection="1">
      <alignment horizontal="center"/>
      <protection hidden="1"/>
    </xf>
    <xf numFmtId="0" fontId="0" fillId="0" borderId="68" xfId="0" applyBorder="1" applyAlignment="1" applyProtection="1">
      <alignment horizontal="center"/>
      <protection hidden="1"/>
    </xf>
    <xf numFmtId="171" fontId="0" fillId="8" borderId="69" xfId="0" applyNumberFormat="1" applyFill="1" applyBorder="1" applyAlignment="1" applyProtection="1">
      <alignment horizontal="center"/>
      <protection hidden="1"/>
    </xf>
    <xf numFmtId="1" fontId="31" fillId="0" borderId="45" xfId="2" applyNumberFormat="1" applyFont="1" applyBorder="1" applyAlignment="1" applyProtection="1">
      <alignment horizontal="center"/>
      <protection hidden="1"/>
    </xf>
    <xf numFmtId="0" fontId="0" fillId="0" borderId="70" xfId="0" applyBorder="1" applyAlignment="1" applyProtection="1">
      <alignment horizontal="center"/>
      <protection hidden="1"/>
    </xf>
    <xf numFmtId="171" fontId="0" fillId="8" borderId="71" xfId="0" applyNumberFormat="1" applyFill="1" applyBorder="1" applyAlignment="1" applyProtection="1">
      <alignment horizontal="center"/>
      <protection hidden="1"/>
    </xf>
    <xf numFmtId="0" fontId="21" fillId="20" borderId="11" xfId="2" quotePrefix="1" applyFont="1" applyFill="1" applyBorder="1" applyAlignment="1" applyProtection="1">
      <alignment horizontal="center"/>
      <protection hidden="1"/>
    </xf>
    <xf numFmtId="0" fontId="21" fillId="0" borderId="2" xfId="2" applyFont="1" applyBorder="1" applyProtection="1">
      <protection hidden="1"/>
    </xf>
    <xf numFmtId="0" fontId="0" fillId="0" borderId="72" xfId="0" applyBorder="1" applyAlignment="1" applyProtection="1">
      <alignment horizontal="center"/>
      <protection hidden="1"/>
    </xf>
    <xf numFmtId="171" fontId="0" fillId="8" borderId="73" xfId="0" applyNumberFormat="1" applyFill="1" applyBorder="1" applyAlignment="1" applyProtection="1">
      <alignment horizontal="center"/>
      <protection hidden="1"/>
    </xf>
    <xf numFmtId="20" fontId="54" fillId="21" borderId="21" xfId="2" quotePrefix="1" applyNumberFormat="1" applyFont="1" applyFill="1" applyBorder="1" applyAlignment="1" applyProtection="1">
      <alignment horizontal="center"/>
      <protection hidden="1"/>
    </xf>
    <xf numFmtId="0" fontId="21" fillId="3" borderId="17" xfId="2" quotePrefix="1" applyFont="1" applyFill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 vertical="center"/>
      <protection hidden="1"/>
    </xf>
    <xf numFmtId="16" fontId="54" fillId="21" borderId="25" xfId="2" quotePrefix="1" applyNumberFormat="1" applyFont="1" applyFill="1" applyBorder="1" applyAlignment="1" applyProtection="1">
      <alignment horizontal="center"/>
      <protection hidden="1"/>
    </xf>
    <xf numFmtId="0" fontId="54" fillId="21" borderId="25" xfId="2" quotePrefix="1" applyFont="1" applyFill="1" applyBorder="1" applyAlignment="1" applyProtection="1">
      <alignment horizontal="center"/>
      <protection hidden="1"/>
    </xf>
    <xf numFmtId="0" fontId="54" fillId="5" borderId="25" xfId="2" quotePrefix="1" applyFont="1" applyFill="1" applyBorder="1" applyAlignment="1" applyProtection="1">
      <alignment horizontal="center"/>
      <protection hidden="1"/>
    </xf>
    <xf numFmtId="1" fontId="31" fillId="0" borderId="2" xfId="2" applyNumberFormat="1" applyFont="1" applyBorder="1" applyAlignment="1" applyProtection="1">
      <alignment horizontal="center"/>
      <protection hidden="1"/>
    </xf>
    <xf numFmtId="0" fontId="54" fillId="4" borderId="25" xfId="2" quotePrefix="1" applyFont="1" applyFill="1" applyBorder="1" applyAlignment="1" applyProtection="1">
      <alignment horizontal="center"/>
      <protection hidden="1"/>
    </xf>
    <xf numFmtId="0" fontId="54" fillId="2" borderId="25" xfId="2" quotePrefix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hidden="1"/>
    </xf>
    <xf numFmtId="0" fontId="54" fillId="3" borderId="25" xfId="2" quotePrefix="1" applyFont="1" applyFill="1" applyBorder="1" applyAlignment="1" applyProtection="1">
      <alignment horizontal="center"/>
      <protection hidden="1"/>
    </xf>
    <xf numFmtId="20" fontId="21" fillId="21" borderId="12" xfId="2" quotePrefix="1" applyNumberFormat="1" applyFont="1" applyFill="1" applyBorder="1" applyAlignment="1" applyProtection="1">
      <alignment horizontal="center"/>
      <protection hidden="1"/>
    </xf>
    <xf numFmtId="0" fontId="54" fillId="20" borderId="121" xfId="2" quotePrefix="1" applyFont="1" applyFill="1" applyBorder="1" applyAlignment="1" applyProtection="1">
      <alignment horizontal="center"/>
      <protection hidden="1"/>
    </xf>
    <xf numFmtId="20" fontId="55" fillId="21" borderId="17" xfId="2" quotePrefix="1" applyNumberFormat="1" applyFont="1" applyFill="1" applyBorder="1" applyAlignment="1" applyProtection="1">
      <alignment horizontal="center"/>
      <protection hidden="1"/>
    </xf>
    <xf numFmtId="0" fontId="21" fillId="22" borderId="48" xfId="2" applyFont="1" applyFill="1" applyBorder="1" applyProtection="1">
      <protection hidden="1"/>
    </xf>
    <xf numFmtId="0" fontId="54" fillId="5" borderId="12" xfId="2" quotePrefix="1" applyFont="1" applyFill="1" applyBorder="1" applyAlignment="1" applyProtection="1">
      <alignment horizontal="center"/>
      <protection hidden="1"/>
    </xf>
    <xf numFmtId="0" fontId="21" fillId="5" borderId="45" xfId="2" applyFont="1" applyFill="1" applyBorder="1" applyProtection="1">
      <protection hidden="1"/>
    </xf>
    <xf numFmtId="0" fontId="54" fillId="4" borderId="12" xfId="2" quotePrefix="1" applyFont="1" applyFill="1" applyBorder="1" applyAlignment="1" applyProtection="1">
      <alignment horizontal="center"/>
      <protection hidden="1"/>
    </xf>
    <xf numFmtId="0" fontId="21" fillId="4" borderId="45" xfId="2" applyFont="1" applyFill="1" applyBorder="1" applyProtection="1">
      <protection hidden="1"/>
    </xf>
    <xf numFmtId="0" fontId="54" fillId="2" borderId="12" xfId="2" quotePrefix="1" applyFont="1" applyFill="1" applyBorder="1" applyAlignment="1" applyProtection="1">
      <alignment horizontal="center"/>
      <protection hidden="1"/>
    </xf>
    <xf numFmtId="0" fontId="21" fillId="2" borderId="45" xfId="2" applyFont="1" applyFill="1" applyBorder="1" applyProtection="1">
      <protection hidden="1"/>
    </xf>
    <xf numFmtId="0" fontId="54" fillId="3" borderId="12" xfId="2" quotePrefix="1" applyFont="1" applyFill="1" applyBorder="1" applyAlignment="1" applyProtection="1">
      <alignment horizontal="center"/>
      <protection hidden="1"/>
    </xf>
    <xf numFmtId="0" fontId="21" fillId="3" borderId="45" xfId="2" applyFont="1" applyFill="1" applyBorder="1" applyProtection="1">
      <protection hidden="1"/>
    </xf>
    <xf numFmtId="0" fontId="54" fillId="20" borderId="11" xfId="2" quotePrefix="1" applyFont="1" applyFill="1" applyBorder="1" applyAlignment="1" applyProtection="1">
      <alignment horizontal="center"/>
      <protection hidden="1"/>
    </xf>
    <xf numFmtId="0" fontId="21" fillId="20" borderId="2" xfId="2" applyFont="1" applyFill="1" applyBorder="1" applyProtection="1">
      <protection hidden="1"/>
    </xf>
    <xf numFmtId="165" fontId="0" fillId="2" borderId="45" xfId="0" applyNumberFormat="1" applyFill="1" applyBorder="1" applyAlignment="1" applyProtection="1">
      <alignment horizontal="center"/>
      <protection hidden="1"/>
    </xf>
    <xf numFmtId="165" fontId="0" fillId="2" borderId="26" xfId="0" applyNumberFormat="1" applyFill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24" fillId="7" borderId="16" xfId="3" applyFont="1" applyFill="1" applyBorder="1" applyAlignment="1" applyProtection="1">
      <alignment horizontal="center"/>
      <protection locked="0" hidden="1"/>
    </xf>
    <xf numFmtId="0" fontId="24" fillId="7" borderId="15" xfId="3" applyFont="1" applyFill="1" applyBorder="1" applyAlignment="1" applyProtection="1">
      <alignment horizontal="center"/>
      <protection locked="0" hidden="1"/>
    </xf>
    <xf numFmtId="0" fontId="24" fillId="7" borderId="16" xfId="3" applyFont="1" applyFill="1" applyBorder="1" applyAlignment="1" applyProtection="1">
      <alignment horizontal="left"/>
      <protection locked="0" hidden="1"/>
    </xf>
    <xf numFmtId="0" fontId="24" fillId="7" borderId="15" xfId="3" applyFont="1" applyFill="1" applyBorder="1" applyAlignment="1" applyProtection="1">
      <alignment horizontal="left"/>
      <protection locked="0" hidden="1"/>
    </xf>
    <xf numFmtId="0" fontId="0" fillId="2" borderId="16" xfId="0" applyFill="1" applyBorder="1" applyAlignment="1" applyProtection="1">
      <alignment horizontal="center"/>
      <protection locked="0" hidden="1"/>
    </xf>
    <xf numFmtId="0" fontId="0" fillId="2" borderId="15" xfId="0" applyFill="1" applyBorder="1" applyAlignment="1" applyProtection="1">
      <alignment horizontal="center"/>
      <protection locked="0" hidden="1"/>
    </xf>
    <xf numFmtId="0" fontId="5" fillId="8" borderId="6" xfId="0" applyFont="1" applyFill="1" applyBorder="1" applyAlignment="1" applyProtection="1">
      <alignment horizontal="center"/>
      <protection hidden="1"/>
    </xf>
    <xf numFmtId="0" fontId="5" fillId="8" borderId="8" xfId="0" applyFont="1" applyFill="1" applyBorder="1" applyAlignment="1" applyProtection="1">
      <alignment horizontal="center"/>
      <protection hidden="1"/>
    </xf>
    <xf numFmtId="0" fontId="56" fillId="0" borderId="0" xfId="4" applyFont="1" applyProtection="1">
      <protection hidden="1"/>
    </xf>
    <xf numFmtId="0" fontId="53" fillId="0" borderId="0" xfId="0" applyFont="1" applyAlignment="1" applyProtection="1">
      <alignment horizontal="left"/>
      <protection hidden="1"/>
    </xf>
    <xf numFmtId="0" fontId="57" fillId="0" borderId="76" xfId="0" applyFont="1" applyBorder="1" applyAlignment="1" applyProtection="1">
      <alignment horizontal="right"/>
      <protection hidden="1"/>
    </xf>
    <xf numFmtId="0" fontId="58" fillId="0" borderId="0" xfId="0" applyFont="1" applyAlignment="1" applyProtection="1">
      <alignment horizontal="left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4" fillId="0" borderId="51" xfId="0" applyFont="1" applyBorder="1" applyAlignment="1" applyProtection="1">
      <alignment horizontal="center"/>
      <protection hidden="1"/>
    </xf>
    <xf numFmtId="0" fontId="4" fillId="0" borderId="52" xfId="0" applyFont="1" applyBorder="1" applyAlignment="1" applyProtection="1">
      <alignment horizontal="center"/>
      <protection hidden="1"/>
    </xf>
    <xf numFmtId="0" fontId="4" fillId="13" borderId="51" xfId="0" applyFont="1" applyFill="1" applyBorder="1" applyAlignment="1" applyProtection="1">
      <alignment horizontal="center"/>
      <protection hidden="1"/>
    </xf>
    <xf numFmtId="0" fontId="4" fillId="13" borderId="52" xfId="0" applyFont="1" applyFill="1" applyBorder="1" applyAlignment="1" applyProtection="1">
      <alignment horizontal="center"/>
      <protection hidden="1"/>
    </xf>
    <xf numFmtId="0" fontId="4" fillId="0" borderId="54" xfId="0" applyFont="1" applyBorder="1" applyAlignment="1" applyProtection="1">
      <alignment horizontal="center"/>
      <protection hidden="1"/>
    </xf>
    <xf numFmtId="0" fontId="4" fillId="0" borderId="48" xfId="0" applyFont="1" applyBorder="1" applyAlignment="1" applyProtection="1">
      <alignment horizontal="center"/>
      <protection hidden="1"/>
    </xf>
    <xf numFmtId="0" fontId="4" fillId="0" borderId="53" xfId="0" applyFont="1" applyBorder="1" applyAlignment="1" applyProtection="1">
      <alignment horizontal="center"/>
      <protection hidden="1"/>
    </xf>
    <xf numFmtId="0" fontId="34" fillId="0" borderId="51" xfId="2" applyFont="1" applyBorder="1" applyAlignment="1" applyProtection="1">
      <alignment horizontal="center"/>
      <protection hidden="1"/>
    </xf>
    <xf numFmtId="0" fontId="34" fillId="0" borderId="52" xfId="2" applyFont="1" applyBorder="1" applyAlignment="1" applyProtection="1">
      <alignment horizontal="center"/>
      <protection hidden="1"/>
    </xf>
    <xf numFmtId="0" fontId="16" fillId="0" borderId="60" xfId="0" applyFont="1" applyBorder="1" applyAlignment="1" applyProtection="1">
      <alignment horizontal="center"/>
      <protection hidden="1"/>
    </xf>
    <xf numFmtId="0" fontId="14" fillId="13" borderId="117" xfId="0" applyFont="1" applyFill="1" applyBorder="1" applyAlignment="1" applyProtection="1">
      <alignment horizontal="center"/>
      <protection locked="0" hidden="1"/>
    </xf>
    <xf numFmtId="0" fontId="14" fillId="13" borderId="118" xfId="0" applyFont="1" applyFill="1" applyBorder="1" applyAlignment="1" applyProtection="1">
      <alignment horizontal="center"/>
      <protection locked="0" hidden="1"/>
    </xf>
    <xf numFmtId="0" fontId="10" fillId="0" borderId="75" xfId="0" applyFont="1" applyBorder="1" applyAlignment="1" applyProtection="1">
      <alignment horizontal="center" vertical="center" wrapText="1"/>
      <protection hidden="1"/>
    </xf>
    <xf numFmtId="0" fontId="10" fillId="0" borderId="49" xfId="0" applyFont="1" applyBorder="1" applyAlignment="1" applyProtection="1">
      <alignment horizontal="center" vertical="center" wrapText="1"/>
      <protection hidden="1"/>
    </xf>
    <xf numFmtId="0" fontId="10" fillId="0" borderId="74" xfId="0" applyFont="1" applyBorder="1" applyAlignment="1" applyProtection="1">
      <alignment horizontal="center" vertical="center" wrapText="1"/>
      <protection hidden="1"/>
    </xf>
    <xf numFmtId="0" fontId="10" fillId="0" borderId="42" xfId="0" applyFont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10" fillId="0" borderId="38" xfId="0" applyFont="1" applyBorder="1" applyAlignment="1" applyProtection="1">
      <alignment horizontal="center" vertical="center" wrapText="1"/>
      <protection hidden="1"/>
    </xf>
    <xf numFmtId="0" fontId="10" fillId="0" borderId="59" xfId="0" applyFont="1" applyBorder="1" applyAlignment="1" applyProtection="1">
      <alignment horizontal="center" vertical="center" wrapText="1"/>
      <protection hidden="1"/>
    </xf>
    <xf numFmtId="0" fontId="10" fillId="0" borderId="14" xfId="0" applyFont="1" applyBorder="1" applyAlignment="1" applyProtection="1">
      <alignment horizontal="center" vertical="center" wrapText="1"/>
      <protection hidden="1"/>
    </xf>
    <xf numFmtId="0" fontId="10" fillId="0" borderId="58" xfId="0" applyFont="1" applyBorder="1" applyAlignment="1" applyProtection="1">
      <alignment horizontal="center" vertical="center" wrapText="1"/>
      <protection hidden="1"/>
    </xf>
    <xf numFmtId="0" fontId="41" fillId="0" borderId="14" xfId="0" applyFont="1" applyBorder="1" applyAlignment="1" applyProtection="1">
      <alignment horizontal="center"/>
      <protection hidden="1"/>
    </xf>
    <xf numFmtId="0" fontId="41" fillId="0" borderId="2" xfId="0" applyFont="1" applyBorder="1" applyAlignment="1" applyProtection="1">
      <alignment horizontal="center"/>
      <protection hidden="1"/>
    </xf>
    <xf numFmtId="0" fontId="4" fillId="8" borderId="55" xfId="0" applyFont="1" applyFill="1" applyBorder="1" applyAlignment="1" applyProtection="1">
      <alignment horizontal="center" vertical="center"/>
      <protection hidden="1"/>
    </xf>
    <xf numFmtId="0" fontId="4" fillId="8" borderId="56" xfId="0" applyFont="1" applyFill="1" applyBorder="1" applyAlignment="1" applyProtection="1">
      <alignment horizontal="center" vertical="center"/>
      <protection hidden="1"/>
    </xf>
    <xf numFmtId="0" fontId="4" fillId="8" borderId="57" xfId="0" applyFont="1" applyFill="1" applyBorder="1" applyAlignment="1" applyProtection="1">
      <alignment horizontal="center" vertical="center"/>
      <protection hidden="1"/>
    </xf>
    <xf numFmtId="0" fontId="16" fillId="14" borderId="27" xfId="4" applyFont="1" applyFill="1" applyBorder="1" applyAlignment="1" applyProtection="1">
      <alignment horizontal="center" vertical="center"/>
      <protection hidden="1"/>
    </xf>
    <xf numFmtId="0" fontId="16" fillId="14" borderId="28" xfId="4" applyFont="1" applyFill="1" applyBorder="1" applyAlignment="1" applyProtection="1">
      <alignment horizontal="center" vertical="center"/>
      <protection hidden="1"/>
    </xf>
    <xf numFmtId="0" fontId="25" fillId="13" borderId="28" xfId="4" applyFont="1" applyFill="1" applyBorder="1" applyAlignment="1" applyProtection="1">
      <alignment horizontal="center" vertical="center"/>
      <protection locked="0" hidden="1"/>
    </xf>
    <xf numFmtId="0" fontId="16" fillId="13" borderId="28" xfId="4" applyFont="1" applyFill="1" applyBorder="1" applyAlignment="1" applyProtection="1">
      <alignment horizontal="center" vertical="center"/>
      <protection locked="0" hidden="1"/>
    </xf>
    <xf numFmtId="0" fontId="12" fillId="13" borderId="117" xfId="4" applyFill="1" applyBorder="1" applyAlignment="1" applyProtection="1">
      <alignment horizontal="center" vertical="center"/>
      <protection locked="0" hidden="1"/>
    </xf>
    <xf numFmtId="0" fontId="16" fillId="14" borderId="117" xfId="0" applyFont="1" applyFill="1" applyBorder="1" applyAlignment="1" applyProtection="1">
      <alignment horizontal="center"/>
      <protection hidden="1"/>
    </xf>
    <xf numFmtId="0" fontId="12" fillId="13" borderId="117" xfId="0" applyFont="1" applyFill="1" applyBorder="1" applyAlignment="1" applyProtection="1">
      <alignment horizontal="center"/>
      <protection locked="0" hidden="1"/>
    </xf>
    <xf numFmtId="0" fontId="12" fillId="13" borderId="28" xfId="4" applyFill="1" applyBorder="1" applyAlignment="1" applyProtection="1">
      <alignment horizontal="center" vertical="center"/>
      <protection locked="0" hidden="1"/>
    </xf>
    <xf numFmtId="0" fontId="4" fillId="8" borderId="27" xfId="0" applyFont="1" applyFill="1" applyBorder="1" applyAlignment="1" applyProtection="1">
      <alignment horizontal="center" vertical="center"/>
      <protection hidden="1"/>
    </xf>
    <xf numFmtId="0" fontId="4" fillId="8" borderId="28" xfId="0" applyFont="1" applyFill="1" applyBorder="1" applyAlignment="1" applyProtection="1">
      <alignment horizontal="center" vertical="center"/>
      <protection hidden="1"/>
    </xf>
    <xf numFmtId="0" fontId="4" fillId="8" borderId="26" xfId="0" applyFont="1" applyFill="1" applyBorder="1" applyAlignment="1" applyProtection="1">
      <alignment horizontal="center" vertical="center"/>
      <protection hidden="1"/>
    </xf>
    <xf numFmtId="0" fontId="34" fillId="13" borderId="30" xfId="2" applyFont="1" applyFill="1" applyBorder="1" applyAlignment="1" applyProtection="1">
      <alignment horizontal="center" vertical="center"/>
      <protection locked="0" hidden="1"/>
    </xf>
    <xf numFmtId="0" fontId="34" fillId="13" borderId="46" xfId="2" applyFont="1" applyFill="1" applyBorder="1" applyAlignment="1" applyProtection="1">
      <alignment horizontal="center" vertical="center"/>
      <protection locked="0" hidden="1"/>
    </xf>
    <xf numFmtId="0" fontId="14" fillId="14" borderId="30" xfId="4" applyFont="1" applyFill="1" applyBorder="1" applyAlignment="1" applyProtection="1">
      <alignment horizontal="left" vertical="center"/>
      <protection hidden="1"/>
    </xf>
    <xf numFmtId="1" fontId="12" fillId="13" borderId="14" xfId="0" applyNumberFormat="1" applyFont="1" applyFill="1" applyBorder="1" applyAlignment="1" applyProtection="1">
      <alignment horizontal="center"/>
      <protection locked="0" hidden="1"/>
    </xf>
    <xf numFmtId="0" fontId="12" fillId="13" borderId="14" xfId="0" applyFont="1" applyFill="1" applyBorder="1" applyAlignment="1" applyProtection="1">
      <alignment horizontal="center"/>
      <protection locked="0" hidden="1"/>
    </xf>
    <xf numFmtId="0" fontId="12" fillId="13" borderId="14" xfId="4" applyFill="1" applyBorder="1" applyAlignment="1" applyProtection="1">
      <alignment horizontal="center" vertical="center"/>
      <protection locked="0" hidden="1"/>
    </xf>
    <xf numFmtId="0" fontId="12" fillId="13" borderId="2" xfId="4" applyFill="1" applyBorder="1" applyAlignment="1" applyProtection="1">
      <alignment horizontal="center" vertical="center"/>
      <protection locked="0" hidden="1"/>
    </xf>
    <xf numFmtId="0" fontId="12" fillId="13" borderId="26" xfId="4" applyFill="1" applyBorder="1" applyAlignment="1" applyProtection="1">
      <alignment horizontal="center" vertical="center"/>
      <protection locked="0" hidden="1"/>
    </xf>
    <xf numFmtId="0" fontId="16" fillId="14" borderId="28" xfId="0" applyFont="1" applyFill="1" applyBorder="1" applyAlignment="1" applyProtection="1">
      <alignment horizontal="center"/>
      <protection hidden="1"/>
    </xf>
    <xf numFmtId="0" fontId="34" fillId="13" borderId="37" xfId="2" applyFont="1" applyFill="1" applyBorder="1" applyAlignment="1" applyProtection="1">
      <alignment horizontal="center" vertical="center"/>
      <protection locked="0" hidden="1"/>
    </xf>
    <xf numFmtId="0" fontId="34" fillId="13" borderId="100" xfId="2" applyFont="1" applyFill="1" applyBorder="1" applyAlignment="1" applyProtection="1">
      <alignment horizontal="center" vertical="center"/>
      <protection locked="0" hidden="1"/>
    </xf>
    <xf numFmtId="0" fontId="14" fillId="14" borderId="37" xfId="4" applyFont="1" applyFill="1" applyBorder="1" applyAlignment="1" applyProtection="1">
      <alignment horizontal="left" vertical="center"/>
      <protection hidden="1"/>
    </xf>
    <xf numFmtId="0" fontId="34" fillId="13" borderId="0" xfId="2" applyFont="1" applyFill="1" applyAlignment="1" applyProtection="1">
      <alignment horizontal="center" vertical="center"/>
      <protection locked="0" hidden="1"/>
    </xf>
    <xf numFmtId="0" fontId="14" fillId="14" borderId="0" xfId="4" applyFont="1" applyFill="1" applyAlignment="1" applyProtection="1">
      <alignment horizontal="left" vertical="center"/>
      <protection hidden="1"/>
    </xf>
    <xf numFmtId="0" fontId="34" fillId="13" borderId="28" xfId="2" applyFont="1" applyFill="1" applyBorder="1" applyAlignment="1" applyProtection="1">
      <alignment horizontal="center" vertical="center"/>
      <protection locked="0" hidden="1"/>
    </xf>
    <xf numFmtId="0" fontId="34" fillId="13" borderId="98" xfId="2" applyFont="1" applyFill="1" applyBorder="1" applyAlignment="1" applyProtection="1">
      <alignment horizontal="center" vertical="center"/>
      <protection locked="0" hidden="1"/>
    </xf>
    <xf numFmtId="0" fontId="14" fillId="14" borderId="14" xfId="4" applyFont="1" applyFill="1" applyBorder="1" applyAlignment="1" applyProtection="1">
      <alignment horizontal="left" vertical="center"/>
      <protection hidden="1"/>
    </xf>
    <xf numFmtId="49" fontId="44" fillId="8" borderId="55" xfId="2" applyNumberFormat="1" applyFont="1" applyFill="1" applyBorder="1" applyAlignment="1" applyProtection="1">
      <alignment horizontal="center" vertical="center"/>
      <protection hidden="1"/>
    </xf>
    <xf numFmtId="49" fontId="44" fillId="8" borderId="56" xfId="2" applyNumberFormat="1" applyFont="1" applyFill="1" applyBorder="1" applyAlignment="1" applyProtection="1">
      <alignment horizontal="center" vertical="center"/>
      <protection hidden="1"/>
    </xf>
    <xf numFmtId="49" fontId="44" fillId="8" borderId="57" xfId="2" applyNumberFormat="1" applyFont="1" applyFill="1" applyBorder="1" applyAlignment="1" applyProtection="1">
      <alignment horizontal="center" vertical="center"/>
      <protection hidden="1"/>
    </xf>
    <xf numFmtId="0" fontId="4" fillId="8" borderId="90" xfId="0" applyFont="1" applyFill="1" applyBorder="1" applyAlignment="1" applyProtection="1">
      <alignment horizontal="center" vertical="center"/>
      <protection hidden="1"/>
    </xf>
    <xf numFmtId="0" fontId="4" fillId="8" borderId="91" xfId="0" applyFont="1" applyFill="1" applyBorder="1" applyAlignment="1" applyProtection="1">
      <alignment horizontal="center" vertical="center"/>
      <protection hidden="1"/>
    </xf>
    <xf numFmtId="0" fontId="4" fillId="8" borderId="92" xfId="0" applyFont="1" applyFill="1" applyBorder="1" applyAlignment="1" applyProtection="1">
      <alignment horizontal="center" vertical="center"/>
      <protection hidden="1"/>
    </xf>
    <xf numFmtId="0" fontId="15" fillId="14" borderId="37" xfId="2" applyFont="1" applyFill="1" applyBorder="1" applyAlignment="1" applyProtection="1">
      <alignment horizontal="center" vertical="center"/>
      <protection hidden="1"/>
    </xf>
    <xf numFmtId="0" fontId="15" fillId="14" borderId="94" xfId="2" applyFont="1" applyFill="1" applyBorder="1" applyAlignment="1" applyProtection="1">
      <alignment horizontal="center" vertical="center" wrapText="1"/>
      <protection hidden="1"/>
    </xf>
    <xf numFmtId="0" fontId="15" fillId="14" borderId="37" xfId="2" applyFont="1" applyFill="1" applyBorder="1" applyAlignment="1" applyProtection="1">
      <alignment horizontal="center" vertical="center" wrapText="1"/>
      <protection hidden="1"/>
    </xf>
    <xf numFmtId="0" fontId="15" fillId="14" borderId="34" xfId="2" applyFont="1" applyFill="1" applyBorder="1" applyAlignment="1" applyProtection="1">
      <alignment horizontal="center" vertical="center" wrapText="1"/>
      <protection hidden="1"/>
    </xf>
    <xf numFmtId="0" fontId="15" fillId="14" borderId="41" xfId="2" applyFont="1" applyFill="1" applyBorder="1" applyAlignment="1" applyProtection="1">
      <alignment horizontal="center" vertical="center" wrapText="1"/>
      <protection hidden="1"/>
    </xf>
    <xf numFmtId="0" fontId="26" fillId="0" borderId="0" xfId="2" applyFont="1" applyAlignment="1" applyProtection="1">
      <alignment horizontal="center" vertical="center"/>
      <protection locked="0" hidden="1"/>
    </xf>
    <xf numFmtId="0" fontId="34" fillId="14" borderId="0" xfId="2" applyFont="1" applyFill="1" applyAlignment="1" applyProtection="1">
      <alignment horizontal="center" vertical="center"/>
      <protection hidden="1"/>
    </xf>
    <xf numFmtId="0" fontId="34" fillId="14" borderId="14" xfId="2" applyFont="1" applyFill="1" applyBorder="1" applyAlignment="1" applyProtection="1">
      <alignment horizontal="center" vertical="center"/>
      <protection hidden="1"/>
    </xf>
    <xf numFmtId="0" fontId="14" fillId="14" borderId="89" xfId="0" applyFont="1" applyFill="1" applyBorder="1" applyAlignment="1" applyProtection="1">
      <alignment horizontal="center" vertical="center"/>
      <protection hidden="1"/>
    </xf>
    <xf numFmtId="0" fontId="14" fillId="14" borderId="0" xfId="0" applyFont="1" applyFill="1" applyAlignment="1" applyProtection="1">
      <alignment horizontal="center" vertical="center"/>
      <protection hidden="1"/>
    </xf>
    <xf numFmtId="0" fontId="14" fillId="14" borderId="45" xfId="0" applyFont="1" applyFill="1" applyBorder="1" applyAlignment="1" applyProtection="1">
      <alignment horizontal="center" vertical="center"/>
      <protection hidden="1"/>
    </xf>
    <xf numFmtId="0" fontId="23" fillId="0" borderId="14" xfId="2" applyFont="1" applyBorder="1" applyAlignment="1" applyProtection="1">
      <alignment horizontal="center"/>
      <protection locked="0" hidden="1"/>
    </xf>
    <xf numFmtId="1" fontId="21" fillId="14" borderId="43" xfId="2" applyNumberFormat="1" applyFont="1" applyFill="1" applyBorder="1" applyAlignment="1" applyProtection="1">
      <alignment horizontal="center" vertical="center" wrapText="1"/>
      <protection hidden="1"/>
    </xf>
    <xf numFmtId="1" fontId="21" fillId="14" borderId="14" xfId="2" applyNumberFormat="1" applyFont="1" applyFill="1" applyBorder="1" applyAlignment="1" applyProtection="1">
      <alignment horizontal="center" vertical="center" wrapText="1"/>
      <protection hidden="1"/>
    </xf>
    <xf numFmtId="0" fontId="23" fillId="0" borderId="59" xfId="2" applyFont="1" applyBorder="1" applyAlignment="1" applyProtection="1">
      <alignment horizontal="center"/>
      <protection locked="0" hidden="1"/>
    </xf>
    <xf numFmtId="0" fontId="34" fillId="14" borderId="2" xfId="2" applyFont="1" applyFill="1" applyBorder="1" applyAlignment="1" applyProtection="1">
      <alignment horizontal="center" vertical="center"/>
      <protection hidden="1"/>
    </xf>
    <xf numFmtId="0" fontId="20" fillId="14" borderId="27" xfId="2" applyFont="1" applyFill="1" applyBorder="1" applyAlignment="1" applyProtection="1">
      <alignment horizontal="left" vertical="center"/>
      <protection hidden="1"/>
    </xf>
    <xf numFmtId="0" fontId="20" fillId="14" borderId="28" xfId="2" applyFont="1" applyFill="1" applyBorder="1" applyAlignment="1" applyProtection="1">
      <alignment horizontal="left" vertical="center"/>
      <protection hidden="1"/>
    </xf>
    <xf numFmtId="1" fontId="34" fillId="14" borderId="28" xfId="2" applyNumberFormat="1" applyFont="1" applyFill="1" applyBorder="1" applyAlignment="1" applyProtection="1">
      <alignment horizontal="center" vertical="center"/>
      <protection hidden="1"/>
    </xf>
    <xf numFmtId="0" fontId="21" fillId="14" borderId="28" xfId="2" applyFont="1" applyFill="1" applyBorder="1" applyAlignment="1" applyProtection="1">
      <alignment horizontal="center"/>
      <protection hidden="1"/>
    </xf>
    <xf numFmtId="0" fontId="43" fillId="14" borderId="0" xfId="2" applyFont="1" applyFill="1" applyAlignment="1" applyProtection="1">
      <alignment horizontal="center" vertical="center" wrapText="1"/>
      <protection hidden="1"/>
    </xf>
    <xf numFmtId="0" fontId="43" fillId="14" borderId="45" xfId="2" applyFont="1" applyFill="1" applyBorder="1" applyAlignment="1" applyProtection="1">
      <alignment horizontal="center" vertical="center" wrapText="1"/>
      <protection hidden="1"/>
    </xf>
    <xf numFmtId="0" fontId="43" fillId="14" borderId="14" xfId="2" applyFont="1" applyFill="1" applyBorder="1" applyAlignment="1" applyProtection="1">
      <alignment horizontal="center" vertical="center" wrapText="1"/>
      <protection hidden="1"/>
    </xf>
    <xf numFmtId="0" fontId="43" fillId="14" borderId="2" xfId="2" applyFont="1" applyFill="1" applyBorder="1" applyAlignment="1" applyProtection="1">
      <alignment horizontal="center" vertical="center" wrapText="1"/>
      <protection hidden="1"/>
    </xf>
    <xf numFmtId="0" fontId="20" fillId="14" borderId="40" xfId="2" applyFont="1" applyFill="1" applyBorder="1" applyAlignment="1" applyProtection="1">
      <alignment horizontal="left" vertical="center"/>
      <protection hidden="1"/>
    </xf>
    <xf numFmtId="0" fontId="20" fillId="14" borderId="0" xfId="2" applyFont="1" applyFill="1" applyAlignment="1" applyProtection="1">
      <alignment horizontal="left" vertical="center"/>
      <protection hidden="1"/>
    </xf>
    <xf numFmtId="1" fontId="34" fillId="14" borderId="0" xfId="2" applyNumberFormat="1" applyFont="1" applyFill="1" applyAlignment="1" applyProtection="1">
      <alignment horizontal="center" vertical="center"/>
      <protection hidden="1"/>
    </xf>
    <xf numFmtId="0" fontId="21" fillId="14" borderId="37" xfId="2" applyFont="1" applyFill="1" applyBorder="1" applyAlignment="1" applyProtection="1">
      <alignment horizontal="center"/>
      <protection hidden="1"/>
    </xf>
    <xf numFmtId="0" fontId="21" fillId="14" borderId="0" xfId="2" applyFont="1" applyFill="1" applyAlignment="1" applyProtection="1">
      <alignment horizontal="center"/>
      <protection hidden="1"/>
    </xf>
    <xf numFmtId="0" fontId="15" fillId="14" borderId="60" xfId="4" applyFont="1" applyFill="1" applyBorder="1" applyAlignment="1" applyProtection="1">
      <alignment horizontal="center" vertical="center"/>
      <protection hidden="1"/>
    </xf>
    <xf numFmtId="0" fontId="13" fillId="14" borderId="60" xfId="0" applyFont="1" applyFill="1" applyBorder="1" applyAlignment="1" applyProtection="1">
      <alignment horizontal="center" vertical="center"/>
      <protection hidden="1"/>
    </xf>
    <xf numFmtId="0" fontId="13" fillId="14" borderId="85" xfId="0" applyFont="1" applyFill="1" applyBorder="1" applyAlignment="1" applyProtection="1">
      <alignment horizontal="center" vertical="center"/>
      <protection hidden="1"/>
    </xf>
    <xf numFmtId="0" fontId="15" fillId="13" borderId="84" xfId="4" applyFont="1" applyFill="1" applyBorder="1" applyAlignment="1" applyProtection="1">
      <alignment horizontal="left" vertical="center" wrapText="1"/>
      <protection locked="0" hidden="1"/>
    </xf>
    <xf numFmtId="0" fontId="15" fillId="13" borderId="60" xfId="4" applyFont="1" applyFill="1" applyBorder="1" applyAlignment="1" applyProtection="1">
      <alignment horizontal="left" vertical="center" wrapText="1"/>
      <protection locked="0" hidden="1"/>
    </xf>
    <xf numFmtId="0" fontId="14" fillId="13" borderId="60" xfId="4" applyFont="1" applyFill="1" applyBorder="1" applyAlignment="1" applyProtection="1">
      <alignment horizontal="left" vertical="center" wrapText="1"/>
      <protection locked="0" hidden="1"/>
    </xf>
    <xf numFmtId="0" fontId="5" fillId="0" borderId="0" xfId="0" applyFont="1" applyAlignment="1" applyProtection="1">
      <alignment horizontal="left" wrapText="1"/>
      <protection hidden="1"/>
    </xf>
    <xf numFmtId="0" fontId="14" fillId="13" borderId="53" xfId="4" applyFont="1" applyFill="1" applyBorder="1" applyAlignment="1" applyProtection="1">
      <alignment horizontal="left" vertical="center" wrapText="1"/>
      <protection locked="0" hidden="1"/>
    </xf>
    <xf numFmtId="0" fontId="14" fillId="13" borderId="52" xfId="4" applyFont="1" applyFill="1" applyBorder="1" applyAlignment="1" applyProtection="1">
      <alignment horizontal="left" vertical="center" wrapText="1"/>
      <protection locked="0" hidden="1"/>
    </xf>
    <xf numFmtId="0" fontId="15" fillId="13" borderId="99" xfId="4" applyFont="1" applyFill="1" applyBorder="1" applyAlignment="1" applyProtection="1">
      <alignment horizontal="left" vertical="center" wrapText="1"/>
      <protection locked="0" hidden="1"/>
    </xf>
    <xf numFmtId="0" fontId="15" fillId="13" borderId="86" xfId="4" applyFont="1" applyFill="1" applyBorder="1" applyAlignment="1" applyProtection="1">
      <alignment horizontal="left" vertical="center" wrapText="1"/>
      <protection locked="0" hidden="1"/>
    </xf>
    <xf numFmtId="0" fontId="14" fillId="13" borderId="86" xfId="4" applyFont="1" applyFill="1" applyBorder="1" applyAlignment="1" applyProtection="1">
      <alignment horizontal="left" vertical="center" wrapText="1"/>
      <protection locked="0" hidden="1"/>
    </xf>
    <xf numFmtId="0" fontId="14" fillId="13" borderId="86" xfId="0" applyFont="1" applyFill="1" applyBorder="1" applyAlignment="1" applyProtection="1">
      <alignment horizontal="left" vertical="center" wrapText="1"/>
      <protection locked="0" hidden="1"/>
    </xf>
    <xf numFmtId="0" fontId="14" fillId="13" borderId="87" xfId="0" applyFont="1" applyFill="1" applyBorder="1" applyAlignment="1" applyProtection="1">
      <alignment horizontal="left" vertical="center" wrapText="1"/>
      <protection locked="0" hidden="1"/>
    </xf>
    <xf numFmtId="0" fontId="14" fillId="13" borderId="60" xfId="0" applyFont="1" applyFill="1" applyBorder="1" applyAlignment="1" applyProtection="1">
      <alignment horizontal="left" vertical="center" wrapText="1"/>
      <protection locked="0" hidden="1"/>
    </xf>
    <xf numFmtId="0" fontId="14" fillId="13" borderId="85" xfId="0" applyFont="1" applyFill="1" applyBorder="1" applyAlignment="1" applyProtection="1">
      <alignment horizontal="left" vertical="center" wrapText="1"/>
      <protection locked="0" hidden="1"/>
    </xf>
    <xf numFmtId="0" fontId="20" fillId="14" borderId="1" xfId="2" applyFont="1" applyFill="1" applyBorder="1" applyAlignment="1" applyProtection="1">
      <alignment horizontal="left" vertical="center"/>
      <protection hidden="1"/>
    </xf>
    <xf numFmtId="0" fontId="20" fillId="14" borderId="14" xfId="2" applyFont="1" applyFill="1" applyBorder="1" applyAlignment="1" applyProtection="1">
      <alignment horizontal="left" vertical="center"/>
      <protection hidden="1"/>
    </xf>
    <xf numFmtId="1" fontId="34" fillId="14" borderId="14" xfId="2" applyNumberFormat="1" applyFont="1" applyFill="1" applyBorder="1" applyAlignment="1" applyProtection="1">
      <alignment horizontal="center" vertical="center"/>
      <protection hidden="1"/>
    </xf>
    <xf numFmtId="0" fontId="21" fillId="14" borderId="14" xfId="2" applyFont="1" applyFill="1" applyBorder="1" applyAlignment="1" applyProtection="1">
      <alignment horizontal="center"/>
      <protection hidden="1"/>
    </xf>
    <xf numFmtId="0" fontId="17" fillId="9" borderId="54" xfId="4" applyFont="1" applyFill="1" applyBorder="1" applyAlignment="1" applyProtection="1">
      <alignment horizontal="center" vertical="center"/>
      <protection hidden="1"/>
    </xf>
    <xf numFmtId="0" fontId="17" fillId="9" borderId="49" xfId="4" applyFont="1" applyFill="1" applyBorder="1" applyAlignment="1" applyProtection="1">
      <alignment horizontal="center" vertical="center"/>
      <protection hidden="1"/>
    </xf>
    <xf numFmtId="0" fontId="17" fillId="9" borderId="48" xfId="4" applyFont="1" applyFill="1" applyBorder="1" applyAlignment="1" applyProtection="1">
      <alignment horizontal="center" vertical="center"/>
      <protection hidden="1"/>
    </xf>
    <xf numFmtId="0" fontId="15" fillId="14" borderId="84" xfId="4" applyFont="1" applyFill="1" applyBorder="1" applyAlignment="1" applyProtection="1">
      <alignment horizontal="center" vertical="center"/>
      <protection hidden="1"/>
    </xf>
    <xf numFmtId="0" fontId="12" fillId="17" borderId="50" xfId="4" applyFill="1" applyBorder="1" applyAlignment="1" applyProtection="1">
      <alignment horizontal="center" vertical="center"/>
      <protection hidden="1"/>
    </xf>
    <xf numFmtId="0" fontId="12" fillId="17" borderId="44" xfId="4" applyFill="1" applyBorder="1" applyAlignment="1" applyProtection="1">
      <alignment horizontal="center" vertical="center"/>
      <protection hidden="1"/>
    </xf>
    <xf numFmtId="0" fontId="10" fillId="0" borderId="49" xfId="0" applyFont="1" applyBorder="1" applyAlignment="1" applyProtection="1">
      <alignment horizontal="center" vertical="center"/>
      <protection hidden="1"/>
    </xf>
    <xf numFmtId="0" fontId="10" fillId="0" borderId="74" xfId="0" applyFont="1" applyBorder="1" applyAlignment="1" applyProtection="1">
      <alignment horizontal="center" vertical="center"/>
      <protection hidden="1"/>
    </xf>
    <xf numFmtId="0" fontId="10" fillId="0" borderId="42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38" xfId="0" applyFont="1" applyBorder="1" applyAlignment="1" applyProtection="1">
      <alignment horizontal="center" vertical="center"/>
      <protection hidden="1"/>
    </xf>
    <xf numFmtId="0" fontId="10" fillId="0" borderId="77" xfId="0" applyFont="1" applyBorder="1" applyAlignment="1" applyProtection="1">
      <alignment horizontal="center" vertical="center"/>
      <protection hidden="1"/>
    </xf>
    <xf numFmtId="0" fontId="10" fillId="0" borderId="28" xfId="0" applyFont="1" applyBorder="1" applyAlignment="1" applyProtection="1">
      <alignment horizontal="center" vertical="center"/>
      <protection hidden="1"/>
    </xf>
    <xf numFmtId="0" fontId="10" fillId="0" borderId="76" xfId="0" applyFont="1" applyBorder="1" applyAlignment="1" applyProtection="1">
      <alignment horizontal="center" vertical="center"/>
      <protection hidden="1"/>
    </xf>
    <xf numFmtId="0" fontId="12" fillId="13" borderId="28" xfId="0" applyFont="1" applyFill="1" applyBorder="1" applyAlignment="1" applyProtection="1">
      <alignment horizontal="center"/>
      <protection locked="0" hidden="1"/>
    </xf>
    <xf numFmtId="0" fontId="12" fillId="13" borderId="26" xfId="0" applyFont="1" applyFill="1" applyBorder="1" applyAlignment="1" applyProtection="1">
      <alignment horizontal="center"/>
      <protection locked="0" hidden="1"/>
    </xf>
    <xf numFmtId="0" fontId="16" fillId="13" borderId="14" xfId="4" applyFont="1" applyFill="1" applyBorder="1" applyAlignment="1" applyProtection="1">
      <alignment horizontal="left" vertical="center" wrapText="1"/>
      <protection locked="0" hidden="1"/>
    </xf>
    <xf numFmtId="0" fontId="16" fillId="13" borderId="2" xfId="4" applyFont="1" applyFill="1" applyBorder="1" applyAlignment="1" applyProtection="1">
      <alignment horizontal="left" vertical="center" wrapText="1"/>
      <protection locked="0" hidden="1"/>
    </xf>
    <xf numFmtId="0" fontId="5" fillId="0" borderId="0" xfId="0" applyFont="1" applyAlignment="1" applyProtection="1">
      <alignment horizontal="center" wrapText="1"/>
      <protection hidden="1"/>
    </xf>
    <xf numFmtId="1" fontId="12" fillId="13" borderId="0" xfId="0" applyNumberFormat="1" applyFont="1" applyFill="1" applyAlignment="1" applyProtection="1">
      <alignment horizontal="center"/>
      <protection locked="0" hidden="1"/>
    </xf>
    <xf numFmtId="0" fontId="12" fillId="13" borderId="0" xfId="0" applyFont="1" applyFill="1" applyAlignment="1" applyProtection="1">
      <alignment horizontal="center"/>
      <protection locked="0" hidden="1"/>
    </xf>
    <xf numFmtId="0" fontId="12" fillId="13" borderId="0" xfId="4" applyFill="1" applyAlignment="1" applyProtection="1">
      <alignment horizontal="center" vertical="center"/>
      <protection locked="0" hidden="1"/>
    </xf>
    <xf numFmtId="0" fontId="12" fillId="13" borderId="45" xfId="4" applyFill="1" applyBorder="1" applyAlignment="1" applyProtection="1">
      <alignment horizontal="center" vertical="center"/>
      <protection locked="0" hidden="1"/>
    </xf>
    <xf numFmtId="0" fontId="12" fillId="14" borderId="30" xfId="4" applyFill="1" applyBorder="1" applyAlignment="1" applyProtection="1">
      <alignment horizontal="center" vertical="center"/>
      <protection hidden="1"/>
    </xf>
    <xf numFmtId="1" fontId="12" fillId="14" borderId="30" xfId="4" applyNumberFormat="1" applyFill="1" applyBorder="1" applyAlignment="1" applyProtection="1">
      <alignment horizontal="center" vertical="center"/>
      <protection hidden="1"/>
    </xf>
    <xf numFmtId="0" fontId="10" fillId="12" borderId="30" xfId="0" applyFont="1" applyFill="1" applyBorder="1" applyAlignment="1" applyProtection="1">
      <alignment horizontal="center"/>
      <protection hidden="1"/>
    </xf>
    <xf numFmtId="172" fontId="19" fillId="11" borderId="30" xfId="4" applyNumberFormat="1" applyFont="1" applyFill="1" applyBorder="1" applyAlignment="1" applyProtection="1">
      <alignment horizontal="center" vertical="center"/>
      <protection hidden="1"/>
    </xf>
    <xf numFmtId="172" fontId="19" fillId="11" borderId="32" xfId="4" applyNumberFormat="1" applyFont="1" applyFill="1" applyBorder="1" applyAlignment="1" applyProtection="1">
      <alignment horizontal="center" vertical="center"/>
      <protection hidden="1"/>
    </xf>
    <xf numFmtId="0" fontId="15" fillId="14" borderId="120" xfId="4" applyFont="1" applyFill="1" applyBorder="1" applyAlignment="1" applyProtection="1">
      <alignment horizontal="center" vertical="center"/>
      <protection hidden="1"/>
    </xf>
    <xf numFmtId="0" fontId="34" fillId="13" borderId="14" xfId="2" applyFont="1" applyFill="1" applyBorder="1" applyAlignment="1" applyProtection="1">
      <alignment horizontal="center" vertical="center"/>
      <protection locked="0" hidden="1"/>
    </xf>
    <xf numFmtId="0" fontId="34" fillId="13" borderId="39" xfId="2" applyFont="1" applyFill="1" applyBorder="1" applyAlignment="1" applyProtection="1">
      <alignment horizontal="center" vertical="center"/>
      <protection locked="0" hidden="1"/>
    </xf>
    <xf numFmtId="0" fontId="15" fillId="14" borderId="1" xfId="0" applyFont="1" applyFill="1" applyBorder="1" applyAlignment="1" applyProtection="1">
      <alignment horizontal="center" vertical="center" wrapText="1"/>
      <protection hidden="1"/>
    </xf>
    <xf numFmtId="0" fontId="15" fillId="14" borderId="14" xfId="0" applyFont="1" applyFill="1" applyBorder="1" applyAlignment="1" applyProtection="1">
      <alignment horizontal="center" vertical="center" wrapText="1"/>
      <protection hidden="1"/>
    </xf>
    <xf numFmtId="0" fontId="30" fillId="14" borderId="14" xfId="0" applyFont="1" applyFill="1" applyBorder="1" applyAlignment="1" applyProtection="1">
      <alignment horizontal="center" vertical="center"/>
      <protection hidden="1"/>
    </xf>
    <xf numFmtId="0" fontId="12" fillId="0" borderId="67" xfId="0" applyFont="1" applyBorder="1" applyAlignment="1" applyProtection="1">
      <alignment horizontal="center"/>
      <protection locked="0" hidden="1"/>
    </xf>
    <xf numFmtId="0" fontId="12" fillId="0" borderId="42" xfId="0" applyFont="1" applyBorder="1" applyAlignment="1" applyProtection="1">
      <alignment horizontal="center"/>
      <protection locked="0" hidden="1"/>
    </xf>
    <xf numFmtId="0" fontId="12" fillId="14" borderId="44" xfId="4" applyFill="1" applyBorder="1" applyAlignment="1" applyProtection="1">
      <alignment horizontal="center" vertical="center"/>
      <protection hidden="1"/>
    </xf>
    <xf numFmtId="1" fontId="12" fillId="14" borderId="44" xfId="4" applyNumberFormat="1" applyFill="1" applyBorder="1" applyAlignment="1" applyProtection="1">
      <alignment horizontal="center" vertical="center"/>
      <protection hidden="1"/>
    </xf>
    <xf numFmtId="0" fontId="10" fillId="12" borderId="44" xfId="0" applyFont="1" applyFill="1" applyBorder="1" applyAlignment="1" applyProtection="1">
      <alignment horizontal="center"/>
      <protection hidden="1"/>
    </xf>
    <xf numFmtId="0" fontId="2" fillId="13" borderId="14" xfId="0" applyFont="1" applyFill="1" applyBorder="1" applyAlignment="1" applyProtection="1">
      <alignment horizontal="center"/>
      <protection locked="0"/>
    </xf>
    <xf numFmtId="0" fontId="2" fillId="13" borderId="2" xfId="0" applyFont="1" applyFill="1" applyBorder="1" applyAlignment="1" applyProtection="1">
      <alignment horizontal="center"/>
      <protection locked="0"/>
    </xf>
    <xf numFmtId="0" fontId="14" fillId="13" borderId="60" xfId="0" applyFont="1" applyFill="1" applyBorder="1" applyAlignment="1" applyProtection="1">
      <alignment horizontal="center" vertical="center" wrapText="1"/>
      <protection locked="0" hidden="1"/>
    </xf>
    <xf numFmtId="0" fontId="14" fillId="13" borderId="85" xfId="0" applyFont="1" applyFill="1" applyBorder="1" applyAlignment="1" applyProtection="1">
      <alignment horizontal="center" vertical="center" wrapText="1"/>
      <protection locked="0" hidden="1"/>
    </xf>
    <xf numFmtId="0" fontId="12" fillId="0" borderId="64" xfId="0" applyFont="1" applyBorder="1" applyAlignment="1" applyProtection="1">
      <alignment horizontal="center"/>
      <protection locked="0" hidden="1"/>
    </xf>
    <xf numFmtId="0" fontId="12" fillId="0" borderId="65" xfId="0" applyFont="1" applyBorder="1" applyAlignment="1" applyProtection="1">
      <alignment horizontal="center"/>
      <protection locked="0" hidden="1"/>
    </xf>
    <xf numFmtId="0" fontId="12" fillId="0" borderId="36" xfId="0" applyFont="1" applyBorder="1" applyAlignment="1" applyProtection="1">
      <alignment horizontal="center"/>
      <protection locked="0" hidden="1"/>
    </xf>
    <xf numFmtId="0" fontId="14" fillId="13" borderId="60" xfId="4" applyFont="1" applyFill="1" applyBorder="1" applyAlignment="1" applyProtection="1">
      <alignment horizontal="center" vertical="center" wrapText="1"/>
      <protection locked="0" hidden="1"/>
    </xf>
    <xf numFmtId="0" fontId="10" fillId="14" borderId="84" xfId="0" applyFont="1" applyFill="1" applyBorder="1" applyAlignment="1" applyProtection="1">
      <alignment horizontal="center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0" fontId="15" fillId="14" borderId="33" xfId="0" applyFont="1" applyFill="1" applyBorder="1" applyAlignment="1" applyProtection="1">
      <alignment horizontal="center" vertical="center" wrapText="1"/>
      <protection hidden="1"/>
    </xf>
    <xf numFmtId="0" fontId="15" fillId="14" borderId="37" xfId="0" applyFont="1" applyFill="1" applyBorder="1" applyAlignment="1" applyProtection="1">
      <alignment horizontal="center" vertical="center" wrapText="1"/>
      <protection hidden="1"/>
    </xf>
    <xf numFmtId="0" fontId="15" fillId="14" borderId="27" xfId="0" applyFont="1" applyFill="1" applyBorder="1" applyAlignment="1" applyProtection="1">
      <alignment horizontal="center" vertical="center" wrapText="1"/>
      <protection hidden="1"/>
    </xf>
    <xf numFmtId="0" fontId="15" fillId="14" borderId="28" xfId="0" applyFont="1" applyFill="1" applyBorder="1" applyAlignment="1" applyProtection="1">
      <alignment horizontal="center" vertical="center" wrapText="1"/>
      <protection hidden="1"/>
    </xf>
    <xf numFmtId="0" fontId="12" fillId="0" borderId="113" xfId="0" applyFont="1" applyBorder="1" applyAlignment="1" applyProtection="1">
      <alignment horizontal="center"/>
      <protection locked="0" hidden="1"/>
    </xf>
    <xf numFmtId="0" fontId="12" fillId="0" borderId="59" xfId="0" applyFont="1" applyBorder="1" applyAlignment="1" applyProtection="1">
      <alignment horizontal="center"/>
      <protection locked="0" hidden="1"/>
    </xf>
    <xf numFmtId="0" fontId="44" fillId="8" borderId="90" xfId="0" applyFont="1" applyFill="1" applyBorder="1" applyAlignment="1" applyProtection="1">
      <alignment horizontal="center" vertical="center"/>
      <protection hidden="1"/>
    </xf>
    <xf numFmtId="0" fontId="44" fillId="8" borderId="91" xfId="0" applyFont="1" applyFill="1" applyBorder="1" applyAlignment="1" applyProtection="1">
      <alignment horizontal="center" vertical="center"/>
      <protection hidden="1"/>
    </xf>
    <xf numFmtId="0" fontId="44" fillId="8" borderId="92" xfId="0" applyFont="1" applyFill="1" applyBorder="1" applyAlignment="1" applyProtection="1">
      <alignment horizontal="center" vertical="center"/>
      <protection hidden="1"/>
    </xf>
    <xf numFmtId="0" fontId="15" fillId="15" borderId="84" xfId="4" applyFont="1" applyFill="1" applyBorder="1" applyAlignment="1" applyProtection="1">
      <alignment horizontal="center" vertical="center"/>
      <protection hidden="1"/>
    </xf>
    <xf numFmtId="0" fontId="15" fillId="15" borderId="60" xfId="4" applyFont="1" applyFill="1" applyBorder="1" applyAlignment="1" applyProtection="1">
      <alignment horizontal="center" vertical="center"/>
      <protection hidden="1"/>
    </xf>
    <xf numFmtId="0" fontId="15" fillId="15" borderId="85" xfId="4" applyFont="1" applyFill="1" applyBorder="1" applyAlignment="1" applyProtection="1">
      <alignment horizontal="center" vertical="center"/>
      <protection hidden="1"/>
    </xf>
    <xf numFmtId="0" fontId="12" fillId="0" borderId="66" xfId="0" applyFont="1" applyBorder="1" applyAlignment="1" applyProtection="1">
      <alignment horizontal="center"/>
      <protection locked="0" hidden="1"/>
    </xf>
    <xf numFmtId="0" fontId="12" fillId="0" borderId="112" xfId="0" applyFont="1" applyBorder="1" applyAlignment="1" applyProtection="1">
      <alignment horizontal="center"/>
      <protection locked="0" hidden="1"/>
    </xf>
    <xf numFmtId="0" fontId="12" fillId="0" borderId="40" xfId="0" applyFont="1" applyBorder="1" applyAlignment="1" applyProtection="1">
      <alignment horizontal="center"/>
      <protection locked="0" hidden="1"/>
    </xf>
    <xf numFmtId="0" fontId="12" fillId="0" borderId="0" xfId="0" applyFont="1" applyAlignment="1" applyProtection="1">
      <alignment horizontal="center"/>
      <protection locked="0" hidden="1"/>
    </xf>
    <xf numFmtId="0" fontId="10" fillId="14" borderId="85" xfId="0" applyFont="1" applyFill="1" applyBorder="1" applyAlignment="1" applyProtection="1">
      <alignment horizontal="center" vertical="center"/>
      <protection hidden="1"/>
    </xf>
    <xf numFmtId="0" fontId="12" fillId="0" borderId="109" xfId="0" applyFont="1" applyBorder="1" applyAlignment="1" applyProtection="1">
      <alignment horizontal="center"/>
      <protection locked="0" hidden="1"/>
    </xf>
    <xf numFmtId="0" fontId="12" fillId="0" borderId="96" xfId="0" applyFont="1" applyBorder="1" applyAlignment="1" applyProtection="1">
      <alignment horizontal="center"/>
      <protection locked="0" hidden="1"/>
    </xf>
    <xf numFmtId="0" fontId="12" fillId="0" borderId="101" xfId="0" applyFont="1" applyBorder="1" applyAlignment="1" applyProtection="1">
      <alignment horizontal="center"/>
      <protection locked="0" hidden="1"/>
    </xf>
    <xf numFmtId="0" fontId="12" fillId="0" borderId="110" xfId="0" applyFont="1" applyBorder="1" applyAlignment="1" applyProtection="1">
      <alignment horizontal="center"/>
      <protection locked="0" hidden="1"/>
    </xf>
    <xf numFmtId="0" fontId="14" fillId="13" borderId="117" xfId="4" applyFont="1" applyFill="1" applyBorder="1" applyAlignment="1" applyProtection="1">
      <alignment horizontal="center" vertical="center"/>
      <protection locked="0" hidden="1"/>
    </xf>
    <xf numFmtId="0" fontId="12" fillId="13" borderId="102" xfId="4" applyFill="1" applyBorder="1" applyAlignment="1" applyProtection="1">
      <alignment horizontal="center" vertical="center"/>
      <protection locked="0" hidden="1"/>
    </xf>
    <xf numFmtId="0" fontId="15" fillId="14" borderId="28" xfId="4" applyFont="1" applyFill="1" applyBorder="1" applyAlignment="1" applyProtection="1">
      <alignment horizontal="center" vertical="center"/>
      <protection hidden="1"/>
    </xf>
    <xf numFmtId="0" fontId="30" fillId="14" borderId="34" xfId="0" applyFont="1" applyFill="1" applyBorder="1" applyAlignment="1" applyProtection="1">
      <alignment horizontal="center" vertical="center"/>
      <protection hidden="1"/>
    </xf>
    <xf numFmtId="0" fontId="30" fillId="14" borderId="76" xfId="0" applyFont="1" applyFill="1" applyBorder="1" applyAlignment="1" applyProtection="1">
      <alignment horizontal="center" vertical="center"/>
      <protection hidden="1"/>
    </xf>
    <xf numFmtId="0" fontId="16" fillId="13" borderId="36" xfId="4" applyFont="1" applyFill="1" applyBorder="1" applyAlignment="1" applyProtection="1">
      <alignment horizontal="center" vertical="center" wrapText="1"/>
      <protection locked="0" hidden="1"/>
    </xf>
    <xf numFmtId="0" fontId="16" fillId="13" borderId="37" xfId="4" applyFont="1" applyFill="1" applyBorder="1" applyAlignment="1" applyProtection="1">
      <alignment horizontal="center" vertical="center" wrapText="1"/>
      <protection locked="0" hidden="1"/>
    </xf>
    <xf numFmtId="0" fontId="16" fillId="13" borderId="34" xfId="4" applyFont="1" applyFill="1" applyBorder="1" applyAlignment="1" applyProtection="1">
      <alignment horizontal="center" vertical="center" wrapText="1"/>
      <protection locked="0" hidden="1"/>
    </xf>
    <xf numFmtId="0" fontId="16" fillId="13" borderId="77" xfId="4" applyFont="1" applyFill="1" applyBorder="1" applyAlignment="1" applyProtection="1">
      <alignment horizontal="center" vertical="center" wrapText="1"/>
      <protection locked="0" hidden="1"/>
    </xf>
    <xf numFmtId="0" fontId="16" fillId="13" borderId="28" xfId="4" applyFont="1" applyFill="1" applyBorder="1" applyAlignment="1" applyProtection="1">
      <alignment horizontal="center" vertical="center" wrapText="1"/>
      <protection locked="0" hidden="1"/>
    </xf>
    <xf numFmtId="0" fontId="16" fillId="13" borderId="76" xfId="4" applyFont="1" applyFill="1" applyBorder="1" applyAlignment="1" applyProtection="1">
      <alignment horizontal="center" vertical="center" wrapText="1"/>
      <protection locked="0" hidden="1"/>
    </xf>
    <xf numFmtId="0" fontId="16" fillId="14" borderId="29" xfId="4" applyFont="1" applyFill="1" applyBorder="1" applyAlignment="1" applyProtection="1">
      <alignment horizontal="center" vertical="center" wrapText="1"/>
      <protection hidden="1"/>
    </xf>
    <xf numFmtId="0" fontId="16" fillId="14" borderId="30" xfId="4" applyFont="1" applyFill="1" applyBorder="1" applyAlignment="1" applyProtection="1">
      <alignment horizontal="center" vertical="center" wrapText="1"/>
      <protection hidden="1"/>
    </xf>
    <xf numFmtId="0" fontId="12" fillId="13" borderId="30" xfId="4" applyFill="1" applyBorder="1" applyAlignment="1" applyProtection="1">
      <alignment horizontal="center" vertical="center" wrapText="1"/>
      <protection locked="0" hidden="1"/>
    </xf>
    <xf numFmtId="0" fontId="12" fillId="13" borderId="32" xfId="4" applyFill="1" applyBorder="1" applyAlignment="1" applyProtection="1">
      <alignment horizontal="center" vertical="center" wrapText="1"/>
      <protection locked="0" hidden="1"/>
    </xf>
    <xf numFmtId="0" fontId="20" fillId="14" borderId="35" xfId="2" applyFont="1" applyFill="1" applyBorder="1" applyAlignment="1" applyProtection="1">
      <alignment horizontal="left" vertical="center"/>
      <protection hidden="1"/>
    </xf>
    <xf numFmtId="0" fontId="20" fillId="14" borderId="30" xfId="2" applyFont="1" applyFill="1" applyBorder="1" applyAlignment="1" applyProtection="1">
      <alignment horizontal="left" vertical="center"/>
      <protection hidden="1"/>
    </xf>
    <xf numFmtId="0" fontId="34" fillId="14" borderId="29" xfId="2" applyFont="1" applyFill="1" applyBorder="1" applyAlignment="1" applyProtection="1">
      <alignment horizontal="center" vertical="center"/>
      <protection hidden="1"/>
    </xf>
    <xf numFmtId="0" fontId="34" fillId="14" borderId="30" xfId="2" applyFont="1" applyFill="1" applyBorder="1" applyAlignment="1" applyProtection="1">
      <alignment horizontal="center" vertical="center"/>
      <protection hidden="1"/>
    </xf>
    <xf numFmtId="0" fontId="34" fillId="14" borderId="31" xfId="2" applyFont="1" applyFill="1" applyBorder="1" applyAlignment="1" applyProtection="1">
      <alignment horizontal="center" vertical="center"/>
      <protection hidden="1"/>
    </xf>
    <xf numFmtId="0" fontId="34" fillId="14" borderId="42" xfId="2" applyFont="1" applyFill="1" applyBorder="1" applyAlignment="1" applyProtection="1">
      <alignment horizontal="center" vertical="center"/>
      <protection hidden="1"/>
    </xf>
    <xf numFmtId="0" fontId="34" fillId="14" borderId="38" xfId="2" applyFont="1" applyFill="1" applyBorder="1" applyAlignment="1" applyProtection="1">
      <alignment horizontal="center" vertical="center"/>
      <protection hidden="1"/>
    </xf>
    <xf numFmtId="0" fontId="34" fillId="14" borderId="59" xfId="2" applyFont="1" applyFill="1" applyBorder="1" applyAlignment="1" applyProtection="1">
      <alignment horizontal="center" vertical="center"/>
      <protection hidden="1"/>
    </xf>
    <xf numFmtId="0" fontId="34" fillId="14" borderId="58" xfId="2" applyFont="1" applyFill="1" applyBorder="1" applyAlignment="1" applyProtection="1">
      <alignment horizontal="center" vertical="center"/>
      <protection hidden="1"/>
    </xf>
    <xf numFmtId="0" fontId="26" fillId="13" borderId="0" xfId="2" applyFont="1" applyFill="1" applyAlignment="1" applyProtection="1">
      <alignment horizontal="center" vertical="center"/>
      <protection locked="0" hidden="1"/>
    </xf>
    <xf numFmtId="0" fontId="23" fillId="0" borderId="1" xfId="2" applyFont="1" applyBorder="1" applyAlignment="1" applyProtection="1">
      <alignment horizontal="center"/>
      <protection locked="0" hidden="1"/>
    </xf>
    <xf numFmtId="0" fontId="12" fillId="14" borderId="88" xfId="0" applyFont="1" applyFill="1" applyBorder="1" applyAlignment="1" applyProtection="1">
      <alignment horizontal="center" vertical="center"/>
      <protection hidden="1"/>
    </xf>
    <xf numFmtId="0" fontId="12" fillId="14" borderId="39" xfId="0" applyFont="1" applyFill="1" applyBorder="1" applyAlignment="1" applyProtection="1">
      <alignment horizontal="center" vertical="center"/>
      <protection hidden="1"/>
    </xf>
    <xf numFmtId="0" fontId="16" fillId="13" borderId="89" xfId="0" applyFont="1" applyFill="1" applyBorder="1" applyAlignment="1" applyProtection="1">
      <alignment horizontal="center" vertical="center"/>
      <protection locked="0" hidden="1"/>
    </xf>
    <xf numFmtId="0" fontId="16" fillId="13" borderId="43" xfId="0" applyFont="1" applyFill="1" applyBorder="1" applyAlignment="1" applyProtection="1">
      <alignment horizontal="center" vertical="center"/>
      <protection locked="0" hidden="1"/>
    </xf>
    <xf numFmtId="49" fontId="15" fillId="8" borderId="93" xfId="2" applyNumberFormat="1" applyFont="1" applyFill="1" applyBorder="1" applyAlignment="1" applyProtection="1">
      <alignment horizontal="center"/>
      <protection hidden="1"/>
    </xf>
    <xf numFmtId="49" fontId="15" fillId="8" borderId="56" xfId="2" applyNumberFormat="1" applyFont="1" applyFill="1" applyBorder="1" applyAlignment="1" applyProtection="1">
      <alignment horizontal="center"/>
      <protection hidden="1"/>
    </xf>
    <xf numFmtId="0" fontId="34" fillId="13" borderId="77" xfId="2" applyFont="1" applyFill="1" applyBorder="1" applyAlignment="1" applyProtection="1">
      <alignment horizontal="center" vertical="center"/>
      <protection locked="0" hidden="1"/>
    </xf>
    <xf numFmtId="0" fontId="34" fillId="13" borderId="76" xfId="2" applyFont="1" applyFill="1" applyBorder="1" applyAlignment="1" applyProtection="1">
      <alignment horizontal="center" vertical="center"/>
      <protection locked="0" hidden="1"/>
    </xf>
    <xf numFmtId="49" fontId="45" fillId="8" borderId="56" xfId="2" applyNumberFormat="1" applyFont="1" applyFill="1" applyBorder="1" applyAlignment="1" applyProtection="1">
      <alignment horizontal="center" vertical="center"/>
      <protection hidden="1"/>
    </xf>
    <xf numFmtId="49" fontId="45" fillId="8" borderId="57" xfId="2" applyNumberFormat="1" applyFont="1" applyFill="1" applyBorder="1" applyAlignment="1" applyProtection="1">
      <alignment horizontal="center" vertical="center"/>
      <protection hidden="1"/>
    </xf>
    <xf numFmtId="0" fontId="45" fillId="8" borderId="90" xfId="0" applyFont="1" applyFill="1" applyBorder="1" applyAlignment="1" applyProtection="1">
      <alignment horizontal="center" vertical="center"/>
      <protection hidden="1"/>
    </xf>
    <xf numFmtId="0" fontId="45" fillId="8" borderId="91" xfId="0" applyFont="1" applyFill="1" applyBorder="1" applyAlignment="1" applyProtection="1">
      <alignment horizontal="center" vertical="center"/>
      <protection hidden="1"/>
    </xf>
    <xf numFmtId="0" fontId="45" fillId="8" borderId="92" xfId="0" applyFont="1" applyFill="1" applyBorder="1" applyAlignment="1" applyProtection="1">
      <alignment horizontal="center" vertical="center"/>
      <protection hidden="1"/>
    </xf>
    <xf numFmtId="0" fontId="13" fillId="14" borderId="94" xfId="0" applyFont="1" applyFill="1" applyBorder="1" applyAlignment="1" applyProtection="1">
      <alignment horizontal="center" vertical="center" wrapText="1"/>
      <protection hidden="1"/>
    </xf>
    <xf numFmtId="0" fontId="13" fillId="14" borderId="37" xfId="0" applyFont="1" applyFill="1" applyBorder="1" applyAlignment="1" applyProtection="1">
      <alignment horizontal="center" vertical="center" wrapText="1"/>
      <protection hidden="1"/>
    </xf>
    <xf numFmtId="0" fontId="34" fillId="13" borderId="42" xfId="2" applyFont="1" applyFill="1" applyBorder="1" applyAlignment="1" applyProtection="1">
      <alignment horizontal="center" vertical="center"/>
      <protection locked="0" hidden="1"/>
    </xf>
    <xf numFmtId="0" fontId="34" fillId="13" borderId="38" xfId="2" applyFont="1" applyFill="1" applyBorder="1" applyAlignment="1" applyProtection="1">
      <alignment horizontal="center" vertical="center"/>
      <protection locked="0" hidden="1"/>
    </xf>
    <xf numFmtId="0" fontId="34" fillId="13" borderId="59" xfId="2" applyFont="1" applyFill="1" applyBorder="1" applyAlignment="1" applyProtection="1">
      <alignment horizontal="center" vertical="center"/>
      <protection locked="0" hidden="1"/>
    </xf>
    <xf numFmtId="0" fontId="34" fillId="13" borderId="58" xfId="2" applyFont="1" applyFill="1" applyBorder="1" applyAlignment="1" applyProtection="1">
      <alignment horizontal="center" vertical="center"/>
      <protection locked="0" hidden="1"/>
    </xf>
    <xf numFmtId="0" fontId="34" fillId="14" borderId="47" xfId="2" applyFont="1" applyFill="1" applyBorder="1" applyAlignment="1" applyProtection="1">
      <alignment horizontal="left" vertical="center"/>
      <protection hidden="1"/>
    </xf>
    <xf numFmtId="0" fontId="34" fillId="14" borderId="30" xfId="2" applyFont="1" applyFill="1" applyBorder="1" applyAlignment="1" applyProtection="1">
      <alignment horizontal="left" vertical="center"/>
      <protection hidden="1"/>
    </xf>
    <xf numFmtId="0" fontId="34" fillId="14" borderId="32" xfId="2" applyFont="1" applyFill="1" applyBorder="1" applyAlignment="1" applyProtection="1">
      <alignment horizontal="left" vertical="center"/>
      <protection hidden="1"/>
    </xf>
    <xf numFmtId="0" fontId="34" fillId="14" borderId="0" xfId="2" applyFont="1" applyFill="1" applyAlignment="1" applyProtection="1">
      <alignment horizontal="left" vertical="center"/>
      <protection hidden="1"/>
    </xf>
    <xf numFmtId="0" fontId="34" fillId="14" borderId="45" xfId="2" applyFont="1" applyFill="1" applyBorder="1" applyAlignment="1" applyProtection="1">
      <alignment horizontal="left" vertical="center"/>
      <protection hidden="1"/>
    </xf>
    <xf numFmtId="0" fontId="34" fillId="14" borderId="14" xfId="2" applyFont="1" applyFill="1" applyBorder="1" applyAlignment="1" applyProtection="1">
      <alignment horizontal="left" vertical="center"/>
      <protection hidden="1"/>
    </xf>
    <xf numFmtId="0" fontId="34" fillId="14" borderId="2" xfId="2" applyFont="1" applyFill="1" applyBorder="1" applyAlignment="1" applyProtection="1">
      <alignment horizontal="left" vertical="center"/>
      <protection hidden="1"/>
    </xf>
    <xf numFmtId="0" fontId="23" fillId="13" borderId="1" xfId="2" applyFont="1" applyFill="1" applyBorder="1" applyAlignment="1" applyProtection="1">
      <alignment horizontal="center"/>
      <protection locked="0" hidden="1"/>
    </xf>
    <xf numFmtId="0" fontId="23" fillId="13" borderId="14" xfId="2" applyFont="1" applyFill="1" applyBorder="1" applyAlignment="1" applyProtection="1">
      <alignment horizontal="center"/>
      <protection locked="0" hidden="1"/>
    </xf>
    <xf numFmtId="0" fontId="23" fillId="0" borderId="42" xfId="2" applyFont="1" applyBorder="1" applyAlignment="1" applyProtection="1">
      <alignment horizontal="center"/>
      <protection locked="0" hidden="1"/>
    </xf>
    <xf numFmtId="0" fontId="23" fillId="0" borderId="0" xfId="2" applyFont="1" applyAlignment="1" applyProtection="1">
      <alignment horizontal="center"/>
      <protection locked="0" hidden="1"/>
    </xf>
    <xf numFmtId="0" fontId="23" fillId="13" borderId="42" xfId="2" applyFont="1" applyFill="1" applyBorder="1" applyAlignment="1" applyProtection="1">
      <alignment horizontal="center"/>
      <protection locked="0" hidden="1"/>
    </xf>
    <xf numFmtId="0" fontId="23" fillId="13" borderId="0" xfId="2" applyFont="1" applyFill="1" applyAlignment="1" applyProtection="1">
      <alignment horizontal="center"/>
      <protection locked="0" hidden="1"/>
    </xf>
    <xf numFmtId="0" fontId="34" fillId="13" borderId="88" xfId="2" applyFont="1" applyFill="1" applyBorder="1" applyAlignment="1" applyProtection="1">
      <alignment horizontal="center" vertical="center"/>
      <protection locked="0" hidden="1"/>
    </xf>
    <xf numFmtId="0" fontId="25" fillId="13" borderId="26" xfId="4" applyFont="1" applyFill="1" applyBorder="1" applyAlignment="1" applyProtection="1">
      <alignment horizontal="center" vertical="center"/>
      <protection locked="0" hidden="1"/>
    </xf>
  </cellXfs>
  <cellStyles count="7">
    <cellStyle name="Collegamento ipertestuale" xfId="5" builtinId="8"/>
    <cellStyle name="Normale" xfId="0" builtinId="0"/>
    <cellStyle name="Normale 2" xfId="1" xr:uid="{7E5098D7-DEBB-45FC-9162-2C2BF8A58AE5}"/>
    <cellStyle name="Normale 3" xfId="2" xr:uid="{A5016584-6CFF-47E6-A628-65154CA1F86F}"/>
    <cellStyle name="Normale 4" xfId="4" xr:uid="{12DF18A9-9968-4BA3-B4B5-8511810C5D5F}"/>
    <cellStyle name="Normale_1" xfId="3" xr:uid="{56ECEEB9-B753-4175-9023-41DFAF40CAEA}"/>
    <cellStyle name="Valuta" xfId="6" builtinId="4"/>
  </cellStyles>
  <dxfs count="346"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color rgb="FFD60093"/>
      </font>
      <fill>
        <patternFill>
          <bgColor rgb="FFCC3399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lor rgb="FFFFFF00"/>
      </font>
      <fill>
        <patternFill>
          <bgColor rgb="FFFFFF00"/>
        </patternFill>
      </fill>
    </dxf>
    <dxf>
      <font>
        <color rgb="FFCC3399"/>
      </font>
      <fill>
        <patternFill>
          <bgColor rgb="FFCC3399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lor rgb="FFFFFF00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D60093"/>
      </font>
      <fill>
        <patternFill>
          <bgColor rgb="FFCC3399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lor rgb="FFFFFF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rgb="FF00B050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66"/>
        </patternFill>
      </fill>
    </dxf>
    <dxf>
      <fill>
        <patternFill>
          <bgColor rgb="FFCC3399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rgb="FF00B050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 tint="-0.34998626667073579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 tint="-0.34998626667073579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ill>
        <patternFill>
          <bgColor rgb="FFCC3399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C3399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C3399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CC3399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C3399"/>
        </patternFill>
      </fill>
    </dxf>
    <dxf>
      <fill>
        <patternFill>
          <bgColor rgb="FF00B0F0"/>
        </patternFill>
      </fill>
    </dxf>
    <dxf>
      <fill>
        <patternFill>
          <bgColor rgb="FFCC339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fgColor rgb="FFFF0000"/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fgColor rgb="FF00B050"/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C3399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C33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C3399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C9344"/>
      <color rgb="FF006600"/>
      <color rgb="FFCC3399"/>
      <color rgb="FFD60093"/>
      <color rgb="FFFF66CC"/>
      <color rgb="FFFF33CC"/>
      <color rgb="FF007033"/>
      <color rgb="FFFF0066"/>
      <color rgb="FFFF66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microsoft.com/office/2007/relationships/hdphoto" Target="../media/hdphoto1.wdp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14.svg"/><Relationship Id="rId12" Type="http://schemas.openxmlformats.org/officeDocument/2006/relationships/image" Target="../media/image11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11" Type="http://schemas.openxmlformats.org/officeDocument/2006/relationships/image" Target="../media/image8.svg"/><Relationship Id="rId5" Type="http://schemas.microsoft.com/office/2007/relationships/hdphoto" Target="../media/hdphoto1.wdp"/><Relationship Id="rId10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15.png"/><Relationship Id="rId7" Type="http://schemas.openxmlformats.org/officeDocument/2006/relationships/image" Target="../media/image3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2.jpeg"/><Relationship Id="rId11" Type="http://schemas.openxmlformats.org/officeDocument/2006/relationships/image" Target="../media/image12.png"/><Relationship Id="rId5" Type="http://schemas.openxmlformats.org/officeDocument/2006/relationships/image" Target="../media/image1.png"/><Relationship Id="rId10" Type="http://schemas.openxmlformats.org/officeDocument/2006/relationships/image" Target="../media/image11.png"/><Relationship Id="rId4" Type="http://schemas.openxmlformats.org/officeDocument/2006/relationships/image" Target="../media/image16.sv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19699</xdr:colOff>
      <xdr:row>15</xdr:row>
      <xdr:rowOff>18196</xdr:rowOff>
    </xdr:from>
    <xdr:to>
      <xdr:col>12</xdr:col>
      <xdr:colOff>398859</xdr:colOff>
      <xdr:row>16</xdr:row>
      <xdr:rowOff>188146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BC07F376-E2DD-4995-963A-2BEEE0C3F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82199" y="2911415"/>
          <a:ext cx="379160" cy="360450"/>
        </a:xfrm>
        <a:prstGeom prst="rect">
          <a:avLst/>
        </a:prstGeom>
      </xdr:spPr>
    </xdr:pic>
    <xdr:clientData/>
  </xdr:twoCellAnchor>
  <xdr:twoCellAnchor editAs="oneCell">
    <xdr:from>
      <xdr:col>19</xdr:col>
      <xdr:colOff>94906</xdr:colOff>
      <xdr:row>10</xdr:row>
      <xdr:rowOff>70366</xdr:rowOff>
    </xdr:from>
    <xdr:to>
      <xdr:col>20</xdr:col>
      <xdr:colOff>252962</xdr:colOff>
      <xdr:row>13</xdr:row>
      <xdr:rowOff>178039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75973F02-067A-4A9D-A4DF-703888A5E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8238781" y="2013466"/>
          <a:ext cx="434281" cy="679173"/>
        </a:xfrm>
        <a:prstGeom prst="rect">
          <a:avLst/>
        </a:prstGeom>
      </xdr:spPr>
    </xdr:pic>
    <xdr:clientData/>
  </xdr:twoCellAnchor>
  <xdr:twoCellAnchor editAs="oneCell">
    <xdr:from>
      <xdr:col>1</xdr:col>
      <xdr:colOff>17601</xdr:colOff>
      <xdr:row>15</xdr:row>
      <xdr:rowOff>15658</xdr:rowOff>
    </xdr:from>
    <xdr:to>
      <xdr:col>1</xdr:col>
      <xdr:colOff>384519</xdr:colOff>
      <xdr:row>16</xdr:row>
      <xdr:rowOff>184548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CB3A7CBE-252E-4428-A0F4-7573FC41D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617" y="2908877"/>
          <a:ext cx="366918" cy="359390"/>
        </a:xfrm>
        <a:prstGeom prst="rect">
          <a:avLst/>
        </a:prstGeom>
      </xdr:spPr>
    </xdr:pic>
    <xdr:clientData/>
  </xdr:twoCellAnchor>
  <xdr:twoCellAnchor editAs="oneCell">
    <xdr:from>
      <xdr:col>16</xdr:col>
      <xdr:colOff>38245</xdr:colOff>
      <xdr:row>19</xdr:row>
      <xdr:rowOff>48944</xdr:rowOff>
    </xdr:from>
    <xdr:to>
      <xdr:col>16</xdr:col>
      <xdr:colOff>473392</xdr:colOff>
      <xdr:row>22</xdr:row>
      <xdr:rowOff>156617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83331BD-6468-40B3-89A9-CF0C3272F2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6342063" y="3703080"/>
          <a:ext cx="435147" cy="679173"/>
        </a:xfrm>
        <a:prstGeom prst="rect">
          <a:avLst/>
        </a:prstGeom>
      </xdr:spPr>
    </xdr:pic>
    <xdr:clientData/>
  </xdr:twoCellAnchor>
  <xdr:twoCellAnchor editAs="oneCell">
    <xdr:from>
      <xdr:col>15</xdr:col>
      <xdr:colOff>167437</xdr:colOff>
      <xdr:row>20</xdr:row>
      <xdr:rowOff>39530</xdr:rowOff>
    </xdr:from>
    <xdr:to>
      <xdr:col>16</xdr:col>
      <xdr:colOff>192929</xdr:colOff>
      <xdr:row>21</xdr:row>
      <xdr:rowOff>180334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FF0A0CC6-5036-4192-8069-08E05F763B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biLevel thresh="75000"/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7740" r="6966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22596"/>
        <a:stretch/>
      </xdr:blipFill>
      <xdr:spPr>
        <a:xfrm>
          <a:off x="6215812" y="4268630"/>
          <a:ext cx="301717" cy="331304"/>
        </a:xfrm>
        <a:prstGeom prst="rect">
          <a:avLst/>
        </a:prstGeom>
      </xdr:spPr>
    </xdr:pic>
    <xdr:clientData/>
  </xdr:twoCellAnchor>
  <xdr:twoCellAnchor>
    <xdr:from>
      <xdr:col>1</xdr:col>
      <xdr:colOff>396764</xdr:colOff>
      <xdr:row>1</xdr:row>
      <xdr:rowOff>139834</xdr:rowOff>
    </xdr:from>
    <xdr:to>
      <xdr:col>2</xdr:col>
      <xdr:colOff>212920</xdr:colOff>
      <xdr:row>3</xdr:row>
      <xdr:rowOff>8090</xdr:rowOff>
    </xdr:to>
    <xdr:pic>
      <xdr:nvPicPr>
        <xdr:cNvPr id="10" name="Elemento grafico 9" descr="Avanzamento rapido con riempimento a tinta unita">
          <a:extLst>
            <a:ext uri="{FF2B5EF4-FFF2-40B4-BE49-F238E27FC236}">
              <a16:creationId xmlns:a16="http://schemas.microsoft.com/office/drawing/2014/main" id="{8C70EAE2-6DDE-4E48-831D-852D67BEE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520589" y="311284"/>
          <a:ext cx="320981" cy="287356"/>
        </a:xfrm>
        <a:prstGeom prst="rect">
          <a:avLst/>
        </a:prstGeom>
      </xdr:spPr>
    </xdr:pic>
    <xdr:clientData/>
  </xdr:twoCellAnchor>
  <xdr:twoCellAnchor>
    <xdr:from>
      <xdr:col>2</xdr:col>
      <xdr:colOff>152579</xdr:colOff>
      <xdr:row>1</xdr:row>
      <xdr:rowOff>103105</xdr:rowOff>
    </xdr:from>
    <xdr:to>
      <xdr:col>3</xdr:col>
      <xdr:colOff>15765</xdr:colOff>
      <xdr:row>3</xdr:row>
      <xdr:rowOff>17992</xdr:rowOff>
    </xdr:to>
    <xdr:pic>
      <xdr:nvPicPr>
        <xdr:cNvPr id="11" name="Elemento grafico 10" descr="Appunti parzialmente selezionati con riempimento a tinta unita">
          <a:extLst>
            <a:ext uri="{FF2B5EF4-FFF2-40B4-BE49-F238E27FC236}">
              <a16:creationId xmlns:a16="http://schemas.microsoft.com/office/drawing/2014/main" id="{7DA897BF-0D5D-49C4-810D-6045E1065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81229" y="274555"/>
          <a:ext cx="368011" cy="333987"/>
        </a:xfrm>
        <a:prstGeom prst="rect">
          <a:avLst/>
        </a:prstGeom>
      </xdr:spPr>
    </xdr:pic>
    <xdr:clientData/>
  </xdr:twoCellAnchor>
  <xdr:twoCellAnchor>
    <xdr:from>
      <xdr:col>2</xdr:col>
      <xdr:colOff>152579</xdr:colOff>
      <xdr:row>1</xdr:row>
      <xdr:rowOff>103105</xdr:rowOff>
    </xdr:from>
    <xdr:to>
      <xdr:col>3</xdr:col>
      <xdr:colOff>15765</xdr:colOff>
      <xdr:row>3</xdr:row>
      <xdr:rowOff>17992</xdr:rowOff>
    </xdr:to>
    <xdr:pic>
      <xdr:nvPicPr>
        <xdr:cNvPr id="12" name="Elemento grafico 11" descr="Appunti parzialmente selezionati con riempimento a tinta unita">
          <a:extLst>
            <a:ext uri="{FF2B5EF4-FFF2-40B4-BE49-F238E27FC236}">
              <a16:creationId xmlns:a16="http://schemas.microsoft.com/office/drawing/2014/main" id="{C2889F7F-A79F-4F1F-8E29-D651FD0D4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43129" y="274555"/>
          <a:ext cx="329911" cy="324462"/>
        </a:xfrm>
        <a:prstGeom prst="rect">
          <a:avLst/>
        </a:prstGeom>
      </xdr:spPr>
    </xdr:pic>
    <xdr:clientData/>
  </xdr:twoCellAnchor>
  <xdr:twoCellAnchor>
    <xdr:from>
      <xdr:col>2</xdr:col>
      <xdr:colOff>152579</xdr:colOff>
      <xdr:row>1</xdr:row>
      <xdr:rowOff>103105</xdr:rowOff>
    </xdr:from>
    <xdr:to>
      <xdr:col>3</xdr:col>
      <xdr:colOff>15765</xdr:colOff>
      <xdr:row>3</xdr:row>
      <xdr:rowOff>17992</xdr:rowOff>
    </xdr:to>
    <xdr:pic>
      <xdr:nvPicPr>
        <xdr:cNvPr id="13" name="Elemento grafico 12" descr="Appunti parzialmente selezionati con riempimento a tinta unita">
          <a:extLst>
            <a:ext uri="{FF2B5EF4-FFF2-40B4-BE49-F238E27FC236}">
              <a16:creationId xmlns:a16="http://schemas.microsoft.com/office/drawing/2014/main" id="{7051734C-AC72-4998-9261-F2EC15400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43129" y="274555"/>
          <a:ext cx="329911" cy="324462"/>
        </a:xfrm>
        <a:prstGeom prst="rect">
          <a:avLst/>
        </a:prstGeom>
      </xdr:spPr>
    </xdr:pic>
    <xdr:clientData/>
  </xdr:twoCellAnchor>
  <xdr:twoCellAnchor editAs="oneCell">
    <xdr:from>
      <xdr:col>0</xdr:col>
      <xdr:colOff>114408</xdr:colOff>
      <xdr:row>1</xdr:row>
      <xdr:rowOff>54899</xdr:rowOff>
    </xdr:from>
    <xdr:to>
      <xdr:col>1</xdr:col>
      <xdr:colOff>464270</xdr:colOff>
      <xdr:row>3</xdr:row>
      <xdr:rowOff>87044</xdr:rowOff>
    </xdr:to>
    <xdr:pic>
      <xdr:nvPicPr>
        <xdr:cNvPr id="14" name="Elemento grafico 13" descr="Scena di foresta con riempimento a tinta unita">
          <a:extLst>
            <a:ext uri="{FF2B5EF4-FFF2-40B4-BE49-F238E27FC236}">
              <a16:creationId xmlns:a16="http://schemas.microsoft.com/office/drawing/2014/main" id="{FFF6E5D1-2DEE-40A5-A20C-0F6B630FF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flipH="1">
          <a:off x="114408" y="228081"/>
          <a:ext cx="471089" cy="447781"/>
        </a:xfrm>
        <a:prstGeom prst="rect">
          <a:avLst/>
        </a:prstGeom>
      </xdr:spPr>
    </xdr:pic>
    <xdr:clientData/>
  </xdr:twoCellAnchor>
  <xdr:twoCellAnchor>
    <xdr:from>
      <xdr:col>2</xdr:col>
      <xdr:colOff>152579</xdr:colOff>
      <xdr:row>1</xdr:row>
      <xdr:rowOff>103105</xdr:rowOff>
    </xdr:from>
    <xdr:to>
      <xdr:col>3</xdr:col>
      <xdr:colOff>15765</xdr:colOff>
      <xdr:row>3</xdr:row>
      <xdr:rowOff>17992</xdr:rowOff>
    </xdr:to>
    <xdr:pic>
      <xdr:nvPicPr>
        <xdr:cNvPr id="9" name="Elemento grafico 8" descr="Appunti parzialmente selezionati con riempimento a tinta unita">
          <a:extLst>
            <a:ext uri="{FF2B5EF4-FFF2-40B4-BE49-F238E27FC236}">
              <a16:creationId xmlns:a16="http://schemas.microsoft.com/office/drawing/2014/main" id="{B8EC8BDE-9560-4A9D-9823-EA810419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81229" y="274555"/>
          <a:ext cx="368011" cy="333987"/>
        </a:xfrm>
        <a:prstGeom prst="rect">
          <a:avLst/>
        </a:prstGeom>
      </xdr:spPr>
    </xdr:pic>
    <xdr:clientData/>
  </xdr:twoCellAnchor>
  <xdr:twoCellAnchor editAs="oneCell">
    <xdr:from>
      <xdr:col>17</xdr:col>
      <xdr:colOff>573405</xdr:colOff>
      <xdr:row>1</xdr:row>
      <xdr:rowOff>118110</xdr:rowOff>
    </xdr:from>
    <xdr:to>
      <xdr:col>20</xdr:col>
      <xdr:colOff>94190</xdr:colOff>
      <xdr:row>3</xdr:row>
      <xdr:rowOff>38129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ED881F7D-9573-B397-959D-5CFCE773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599045" y="285750"/>
          <a:ext cx="953345" cy="331499"/>
        </a:xfrm>
        <a:prstGeom prst="rect">
          <a:avLst/>
        </a:prstGeom>
      </xdr:spPr>
    </xdr:pic>
    <xdr:clientData/>
  </xdr:twoCellAnchor>
  <xdr:twoCellAnchor editAs="oneCell">
    <xdr:from>
      <xdr:col>14</xdr:col>
      <xdr:colOff>60961</xdr:colOff>
      <xdr:row>1</xdr:row>
      <xdr:rowOff>47779</xdr:rowOff>
    </xdr:from>
    <xdr:to>
      <xdr:col>17</xdr:col>
      <xdr:colOff>259081</xdr:colOff>
      <xdr:row>3</xdr:row>
      <xdr:rowOff>202743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7A01FDE5-B54E-847E-2161-0CAEA9758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35041" y="215419"/>
          <a:ext cx="1249680" cy="566444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27708</xdr:colOff>
      <xdr:row>17</xdr:row>
      <xdr:rowOff>22957</xdr:rowOff>
    </xdr:from>
    <xdr:to>
      <xdr:col>12</xdr:col>
      <xdr:colOff>422788</xdr:colOff>
      <xdr:row>19</xdr:row>
      <xdr:rowOff>17542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1AEB504-DD20-4C68-867D-11C5DBBCC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72890" y="3460616"/>
          <a:ext cx="395080" cy="375585"/>
        </a:xfrm>
        <a:prstGeom prst="rect">
          <a:avLst/>
        </a:prstGeom>
      </xdr:spPr>
    </xdr:pic>
    <xdr:clientData/>
  </xdr:twoCellAnchor>
  <xdr:twoCellAnchor editAs="oneCell">
    <xdr:from>
      <xdr:col>19</xdr:col>
      <xdr:colOff>85381</xdr:colOff>
      <xdr:row>12</xdr:row>
      <xdr:rowOff>50450</xdr:rowOff>
    </xdr:from>
    <xdr:to>
      <xdr:col>20</xdr:col>
      <xdr:colOff>243437</xdr:colOff>
      <xdr:row>15</xdr:row>
      <xdr:rowOff>158123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600306AE-C306-4D62-9D24-1E1053B56D2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8343556" y="2536475"/>
          <a:ext cx="434281" cy="679173"/>
        </a:xfrm>
        <a:prstGeom prst="rect">
          <a:avLst/>
        </a:prstGeom>
      </xdr:spPr>
    </xdr:pic>
    <xdr:clientData/>
  </xdr:twoCellAnchor>
  <xdr:twoCellAnchor editAs="oneCell">
    <xdr:from>
      <xdr:col>1</xdr:col>
      <xdr:colOff>25084</xdr:colOff>
      <xdr:row>17</xdr:row>
      <xdr:rowOff>17187</xdr:rowOff>
    </xdr:from>
    <xdr:to>
      <xdr:col>1</xdr:col>
      <xdr:colOff>390962</xdr:colOff>
      <xdr:row>18</xdr:row>
      <xdr:rowOff>185058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E8777A3E-9D92-4C5D-9CBE-BA5B8EC64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270" y="3467958"/>
          <a:ext cx="365878" cy="358371"/>
        </a:xfrm>
        <a:prstGeom prst="rect">
          <a:avLst/>
        </a:prstGeom>
      </xdr:spPr>
    </xdr:pic>
    <xdr:clientData/>
  </xdr:twoCellAnchor>
  <xdr:twoCellAnchor editAs="oneCell">
    <xdr:from>
      <xdr:col>16</xdr:col>
      <xdr:colOff>38245</xdr:colOff>
      <xdr:row>21</xdr:row>
      <xdr:rowOff>48944</xdr:rowOff>
    </xdr:from>
    <xdr:to>
      <xdr:col>16</xdr:col>
      <xdr:colOff>473392</xdr:colOff>
      <xdr:row>24</xdr:row>
      <xdr:rowOff>156617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D3F32D66-229A-4E2C-BE6C-9BCABBE100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6342063" y="4248603"/>
          <a:ext cx="435147" cy="679173"/>
        </a:xfrm>
        <a:prstGeom prst="rect">
          <a:avLst/>
        </a:prstGeom>
      </xdr:spPr>
    </xdr:pic>
    <xdr:clientData/>
  </xdr:twoCellAnchor>
  <xdr:twoCellAnchor editAs="oneCell">
    <xdr:from>
      <xdr:col>15</xdr:col>
      <xdr:colOff>167437</xdr:colOff>
      <xdr:row>22</xdr:row>
      <xdr:rowOff>39530</xdr:rowOff>
    </xdr:from>
    <xdr:to>
      <xdr:col>16</xdr:col>
      <xdr:colOff>192930</xdr:colOff>
      <xdr:row>23</xdr:row>
      <xdr:rowOff>180334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B9A9E93B-9497-4181-9C86-B7C7C4563D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biLevel thresh="75000"/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0000" l="7740" r="6966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22596"/>
        <a:stretch/>
      </xdr:blipFill>
      <xdr:spPr>
        <a:xfrm>
          <a:off x="6194164" y="4265166"/>
          <a:ext cx="302583" cy="331304"/>
        </a:xfrm>
        <a:prstGeom prst="rect">
          <a:avLst/>
        </a:prstGeom>
      </xdr:spPr>
    </xdr:pic>
    <xdr:clientData/>
  </xdr:twoCellAnchor>
  <xdr:twoCellAnchor editAs="oneCell">
    <xdr:from>
      <xdr:col>0</xdr:col>
      <xdr:colOff>114408</xdr:colOff>
      <xdr:row>1</xdr:row>
      <xdr:rowOff>30654</xdr:rowOff>
    </xdr:from>
    <xdr:to>
      <xdr:col>2</xdr:col>
      <xdr:colOff>60</xdr:colOff>
      <xdr:row>3</xdr:row>
      <xdr:rowOff>115377</xdr:rowOff>
    </xdr:to>
    <xdr:pic>
      <xdr:nvPicPr>
        <xdr:cNvPr id="15" name="Elemento grafico 14" descr="Albero con radici con riempimento a tinta unita">
          <a:extLst>
            <a:ext uri="{FF2B5EF4-FFF2-40B4-BE49-F238E27FC236}">
              <a16:creationId xmlns:a16="http://schemas.microsoft.com/office/drawing/2014/main" id="{B7F65E14-088C-46E7-80D0-C62F6D2CCE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408" y="202104"/>
          <a:ext cx="511705" cy="503823"/>
        </a:xfrm>
        <a:prstGeom prst="rect">
          <a:avLst/>
        </a:prstGeom>
      </xdr:spPr>
    </xdr:pic>
    <xdr:clientData/>
  </xdr:twoCellAnchor>
  <xdr:twoCellAnchor>
    <xdr:from>
      <xdr:col>1</xdr:col>
      <xdr:colOff>396764</xdr:colOff>
      <xdr:row>1</xdr:row>
      <xdr:rowOff>139834</xdr:rowOff>
    </xdr:from>
    <xdr:to>
      <xdr:col>2</xdr:col>
      <xdr:colOff>212920</xdr:colOff>
      <xdr:row>3</xdr:row>
      <xdr:rowOff>8090</xdr:rowOff>
    </xdr:to>
    <xdr:pic>
      <xdr:nvPicPr>
        <xdr:cNvPr id="16" name="Elemento grafico 15" descr="Avanzamento rapido con riempimento a tinta unita">
          <a:extLst>
            <a:ext uri="{FF2B5EF4-FFF2-40B4-BE49-F238E27FC236}">
              <a16:creationId xmlns:a16="http://schemas.microsoft.com/office/drawing/2014/main" id="{13B69459-080D-42B8-B99C-56C090BE2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20589" y="311284"/>
          <a:ext cx="282881" cy="277831"/>
        </a:xfrm>
        <a:prstGeom prst="rect">
          <a:avLst/>
        </a:prstGeom>
      </xdr:spPr>
    </xdr:pic>
    <xdr:clientData/>
  </xdr:twoCellAnchor>
  <xdr:twoCellAnchor>
    <xdr:from>
      <xdr:col>2</xdr:col>
      <xdr:colOff>152579</xdr:colOff>
      <xdr:row>1</xdr:row>
      <xdr:rowOff>103105</xdr:rowOff>
    </xdr:from>
    <xdr:to>
      <xdr:col>3</xdr:col>
      <xdr:colOff>15765</xdr:colOff>
      <xdr:row>3</xdr:row>
      <xdr:rowOff>17992</xdr:rowOff>
    </xdr:to>
    <xdr:pic>
      <xdr:nvPicPr>
        <xdr:cNvPr id="17" name="Elemento grafico 16" descr="Appunti parzialmente selezionati con riempimento a tinta unita">
          <a:extLst>
            <a:ext uri="{FF2B5EF4-FFF2-40B4-BE49-F238E27FC236}">
              <a16:creationId xmlns:a16="http://schemas.microsoft.com/office/drawing/2014/main" id="{C6883C99-E98E-42EC-97F5-BC1F8FE7C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43129" y="274555"/>
          <a:ext cx="329911" cy="324462"/>
        </a:xfrm>
        <a:prstGeom prst="rect">
          <a:avLst/>
        </a:prstGeom>
      </xdr:spPr>
    </xdr:pic>
    <xdr:clientData/>
  </xdr:twoCellAnchor>
  <xdr:twoCellAnchor editAs="oneCell">
    <xdr:from>
      <xdr:col>12</xdr:col>
      <xdr:colOff>24122</xdr:colOff>
      <xdr:row>17</xdr:row>
      <xdr:rowOff>20236</xdr:rowOff>
    </xdr:from>
    <xdr:to>
      <xdr:col>12</xdr:col>
      <xdr:colOff>392162</xdr:colOff>
      <xdr:row>18</xdr:row>
      <xdr:rowOff>179615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CDEC5F67-336A-45F4-9191-056EB38B1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02951" y="3471007"/>
          <a:ext cx="368040" cy="349879"/>
        </a:xfrm>
        <a:prstGeom prst="rect">
          <a:avLst/>
        </a:prstGeom>
      </xdr:spPr>
    </xdr:pic>
    <xdr:clientData/>
  </xdr:twoCellAnchor>
  <xdr:twoCellAnchor editAs="oneCell">
    <xdr:from>
      <xdr:col>17</xdr:col>
      <xdr:colOff>573405</xdr:colOff>
      <xdr:row>1</xdr:row>
      <xdr:rowOff>118110</xdr:rowOff>
    </xdr:from>
    <xdr:to>
      <xdr:col>20</xdr:col>
      <xdr:colOff>56090</xdr:colOff>
      <xdr:row>3</xdr:row>
      <xdr:rowOff>38129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697723F-448D-441B-B0DC-44346A9F8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599045" y="285750"/>
          <a:ext cx="953345" cy="331499"/>
        </a:xfrm>
        <a:prstGeom prst="rect">
          <a:avLst/>
        </a:prstGeom>
      </xdr:spPr>
    </xdr:pic>
    <xdr:clientData/>
  </xdr:twoCellAnchor>
  <xdr:twoCellAnchor editAs="oneCell">
    <xdr:from>
      <xdr:col>14</xdr:col>
      <xdr:colOff>60961</xdr:colOff>
      <xdr:row>1</xdr:row>
      <xdr:rowOff>47779</xdr:rowOff>
    </xdr:from>
    <xdr:to>
      <xdr:col>17</xdr:col>
      <xdr:colOff>259081</xdr:colOff>
      <xdr:row>3</xdr:row>
      <xdr:rowOff>202743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C6D7F9F5-84F3-4DA6-8F0D-DA0A1860B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35041" y="215419"/>
          <a:ext cx="1249680" cy="566444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114408</xdr:colOff>
      <xdr:row>1</xdr:row>
      <xdr:rowOff>30654</xdr:rowOff>
    </xdr:from>
    <xdr:to>
      <xdr:col>2</xdr:col>
      <xdr:colOff>4089</xdr:colOff>
      <xdr:row>3</xdr:row>
      <xdr:rowOff>124902</xdr:rowOff>
    </xdr:to>
    <xdr:pic>
      <xdr:nvPicPr>
        <xdr:cNvPr id="11" name="Elemento grafico 10" descr="Albero con radici con riempimento a tinta unita">
          <a:extLst>
            <a:ext uri="{FF2B5EF4-FFF2-40B4-BE49-F238E27FC236}">
              <a16:creationId xmlns:a16="http://schemas.microsoft.com/office/drawing/2014/main" id="{CB57E2C6-88BA-4E84-B9DC-D59EA5F03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408" y="202104"/>
          <a:ext cx="505355" cy="500648"/>
        </a:xfrm>
        <a:prstGeom prst="rect">
          <a:avLst/>
        </a:prstGeom>
      </xdr:spPr>
    </xdr:pic>
    <xdr:clientData/>
  </xdr:twoCellAnchor>
  <xdr:twoCellAnchor editAs="oneCell">
    <xdr:from>
      <xdr:col>2</xdr:col>
      <xdr:colOff>71056</xdr:colOff>
      <xdr:row>1</xdr:row>
      <xdr:rowOff>75957</xdr:rowOff>
    </xdr:from>
    <xdr:to>
      <xdr:col>2</xdr:col>
      <xdr:colOff>419971</xdr:colOff>
      <xdr:row>3</xdr:row>
      <xdr:rowOff>7065</xdr:rowOff>
    </xdr:to>
    <xdr:pic>
      <xdr:nvPicPr>
        <xdr:cNvPr id="12" name="Elemento grafico 11" descr="Lente di ingrandimento con riempimento a tinta unita">
          <a:extLst>
            <a:ext uri="{FF2B5EF4-FFF2-40B4-BE49-F238E27FC236}">
              <a16:creationId xmlns:a16="http://schemas.microsoft.com/office/drawing/2014/main" id="{AE0E0F16-1AE9-444A-82D4-4932D7DC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6056" y="247407"/>
          <a:ext cx="348915" cy="337508"/>
        </a:xfrm>
        <a:prstGeom prst="rect">
          <a:avLst/>
        </a:prstGeom>
      </xdr:spPr>
    </xdr:pic>
    <xdr:clientData/>
  </xdr:twoCellAnchor>
  <xdr:twoCellAnchor editAs="oneCell">
    <xdr:from>
      <xdr:col>12</xdr:col>
      <xdr:colOff>23456</xdr:colOff>
      <xdr:row>30</xdr:row>
      <xdr:rowOff>22206</xdr:rowOff>
    </xdr:from>
    <xdr:to>
      <xdr:col>12</xdr:col>
      <xdr:colOff>404812</xdr:colOff>
      <xdr:row>32</xdr:row>
      <xdr:rowOff>3744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E1AF2C35-A5EE-4313-AE46-B7E9ED2EC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85956" y="5772925"/>
          <a:ext cx="381356" cy="362538"/>
        </a:xfrm>
        <a:prstGeom prst="rect">
          <a:avLst/>
        </a:prstGeom>
      </xdr:spPr>
    </xdr:pic>
    <xdr:clientData/>
  </xdr:twoCellAnchor>
  <xdr:twoCellAnchor editAs="oneCell">
    <xdr:from>
      <xdr:col>19</xdr:col>
      <xdr:colOff>47281</xdr:colOff>
      <xdr:row>25</xdr:row>
      <xdr:rowOff>41238</xdr:rowOff>
    </xdr:from>
    <xdr:to>
      <xdr:col>20</xdr:col>
      <xdr:colOff>218944</xdr:colOff>
      <xdr:row>28</xdr:row>
      <xdr:rowOff>148911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23D83157-FC7D-4C33-9C62-AE5C5A0361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7946951" y="4844270"/>
          <a:ext cx="447280" cy="679173"/>
        </a:xfrm>
        <a:prstGeom prst="rect">
          <a:avLst/>
        </a:prstGeom>
      </xdr:spPr>
    </xdr:pic>
    <xdr:clientData/>
  </xdr:twoCellAnchor>
  <xdr:twoCellAnchor editAs="oneCell">
    <xdr:from>
      <xdr:col>1</xdr:col>
      <xdr:colOff>25201</xdr:colOff>
      <xdr:row>30</xdr:row>
      <xdr:rowOff>29087</xdr:rowOff>
    </xdr:from>
    <xdr:to>
      <xdr:col>1</xdr:col>
      <xdr:colOff>378407</xdr:colOff>
      <xdr:row>31</xdr:row>
      <xdr:rowOff>184546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1D234754-4B83-4151-84F3-1F014BD62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217" y="5779806"/>
          <a:ext cx="353206" cy="345959"/>
        </a:xfrm>
        <a:prstGeom prst="rect">
          <a:avLst/>
        </a:prstGeom>
      </xdr:spPr>
    </xdr:pic>
    <xdr:clientData/>
  </xdr:twoCellAnchor>
  <xdr:twoCellAnchor editAs="oneCell">
    <xdr:from>
      <xdr:col>19</xdr:col>
      <xdr:colOff>55563</xdr:colOff>
      <xdr:row>34</xdr:row>
      <xdr:rowOff>50050</xdr:rowOff>
    </xdr:from>
    <xdr:to>
      <xdr:col>20</xdr:col>
      <xdr:colOff>227226</xdr:colOff>
      <xdr:row>37</xdr:row>
      <xdr:rowOff>157723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5B1B3298-F135-FC26-C7DF-4FFF897160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7955233" y="6567582"/>
          <a:ext cx="447280" cy="679173"/>
        </a:xfrm>
        <a:prstGeom prst="rect">
          <a:avLst/>
        </a:prstGeom>
      </xdr:spPr>
    </xdr:pic>
    <xdr:clientData/>
  </xdr:twoCellAnchor>
  <xdr:twoCellAnchor editAs="oneCell">
    <xdr:from>
      <xdr:col>18</xdr:col>
      <xdr:colOff>487823</xdr:colOff>
      <xdr:row>35</xdr:row>
      <xdr:rowOff>66260</xdr:rowOff>
    </xdr:from>
    <xdr:to>
      <xdr:col>19</xdr:col>
      <xdr:colOff>173694</xdr:colOff>
      <xdr:row>37</xdr:row>
      <xdr:rowOff>16564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E22A9DC2-F7BB-41FF-8494-5D671E668A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biLevel thresh="75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7740" r="6966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22596"/>
        <a:stretch/>
      </xdr:blipFill>
      <xdr:spPr>
        <a:xfrm>
          <a:off x="7809649" y="6766890"/>
          <a:ext cx="301830" cy="331304"/>
        </a:xfrm>
        <a:prstGeom prst="rect">
          <a:avLst/>
        </a:prstGeom>
      </xdr:spPr>
    </xdr:pic>
    <xdr:clientData/>
  </xdr:twoCellAnchor>
  <xdr:oneCellAnchor>
    <xdr:from>
      <xdr:col>19</xdr:col>
      <xdr:colOff>55563</xdr:colOff>
      <xdr:row>53</xdr:row>
      <xdr:rowOff>41944</xdr:rowOff>
    </xdr:from>
    <xdr:ext cx="431382" cy="679173"/>
    <xdr:pic>
      <xdr:nvPicPr>
        <xdr:cNvPr id="17" name="Immagine 16">
          <a:extLst>
            <a:ext uri="{FF2B5EF4-FFF2-40B4-BE49-F238E27FC236}">
              <a16:creationId xmlns:a16="http://schemas.microsoft.com/office/drawing/2014/main" id="{8B13BA4C-8069-43F1-8A75-D13BB5375C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25470" r="22887" b="6480"/>
        <a:stretch/>
      </xdr:blipFill>
      <xdr:spPr>
        <a:xfrm>
          <a:off x="7955233" y="10178976"/>
          <a:ext cx="431382" cy="679173"/>
        </a:xfrm>
        <a:prstGeom prst="rect">
          <a:avLst/>
        </a:prstGeom>
      </xdr:spPr>
    </xdr:pic>
    <xdr:clientData/>
  </xdr:oneCellAnchor>
  <xdr:oneCellAnchor>
    <xdr:from>
      <xdr:col>18</xdr:col>
      <xdr:colOff>487823</xdr:colOff>
      <xdr:row>54</xdr:row>
      <xdr:rowOff>66260</xdr:rowOff>
    </xdr:from>
    <xdr:ext cx="301830" cy="331304"/>
    <xdr:pic>
      <xdr:nvPicPr>
        <xdr:cNvPr id="18" name="Immagine 17">
          <a:extLst>
            <a:ext uri="{FF2B5EF4-FFF2-40B4-BE49-F238E27FC236}">
              <a16:creationId xmlns:a16="http://schemas.microsoft.com/office/drawing/2014/main" id="{77B8B571-C67B-4547-994F-B109AE3DDF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biLevel thresh="75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10000" b="90000" l="7740" r="6966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22596"/>
        <a:stretch/>
      </xdr:blipFill>
      <xdr:spPr>
        <a:xfrm>
          <a:off x="7809649" y="10502347"/>
          <a:ext cx="301830" cy="331304"/>
        </a:xfrm>
        <a:prstGeom prst="rect">
          <a:avLst/>
        </a:prstGeom>
      </xdr:spPr>
    </xdr:pic>
    <xdr:clientData/>
  </xdr:oneCellAnchor>
  <xdr:oneCellAnchor>
    <xdr:from>
      <xdr:col>12</xdr:col>
      <xdr:colOff>27708</xdr:colOff>
      <xdr:row>49</xdr:row>
      <xdr:rowOff>22957</xdr:rowOff>
    </xdr:from>
    <xdr:ext cx="395080" cy="375585"/>
    <xdr:pic>
      <xdr:nvPicPr>
        <xdr:cNvPr id="19" name="Immagine 18">
          <a:extLst>
            <a:ext uri="{FF2B5EF4-FFF2-40B4-BE49-F238E27FC236}">
              <a16:creationId xmlns:a16="http://schemas.microsoft.com/office/drawing/2014/main" id="{ADB6A132-6F87-404E-B5F4-A837DE8CD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72890" y="8933162"/>
          <a:ext cx="395080" cy="375585"/>
        </a:xfrm>
        <a:prstGeom prst="rect">
          <a:avLst/>
        </a:prstGeom>
      </xdr:spPr>
    </xdr:pic>
    <xdr:clientData/>
  </xdr:oneCellAnchor>
  <xdr:oneCellAnchor>
    <xdr:from>
      <xdr:col>1</xdr:col>
      <xdr:colOff>41413</xdr:colOff>
      <xdr:row>49</xdr:row>
      <xdr:rowOff>24858</xdr:rowOff>
    </xdr:from>
    <xdr:ext cx="369680" cy="362095"/>
    <xdr:pic>
      <xdr:nvPicPr>
        <xdr:cNvPr id="20" name="Immagine 19">
          <a:extLst>
            <a:ext uri="{FF2B5EF4-FFF2-40B4-BE49-F238E27FC236}">
              <a16:creationId xmlns:a16="http://schemas.microsoft.com/office/drawing/2014/main" id="{4A7ECF8C-0A87-4F17-B28C-FCF49AE77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6429" y="9395077"/>
          <a:ext cx="369680" cy="362095"/>
        </a:xfrm>
        <a:prstGeom prst="rect">
          <a:avLst/>
        </a:prstGeom>
      </xdr:spPr>
    </xdr:pic>
    <xdr:clientData/>
  </xdr:oneCellAnchor>
  <xdr:oneCellAnchor>
    <xdr:from>
      <xdr:col>12</xdr:col>
      <xdr:colOff>23455</xdr:colOff>
      <xdr:row>49</xdr:row>
      <xdr:rowOff>22205</xdr:rowOff>
    </xdr:from>
    <xdr:ext cx="377418" cy="358795"/>
    <xdr:pic>
      <xdr:nvPicPr>
        <xdr:cNvPr id="7" name="Immagine 6">
          <a:extLst>
            <a:ext uri="{FF2B5EF4-FFF2-40B4-BE49-F238E27FC236}">
              <a16:creationId xmlns:a16="http://schemas.microsoft.com/office/drawing/2014/main" id="{56BAD249-58F3-4180-BD27-4485162DF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85955" y="9392424"/>
          <a:ext cx="377418" cy="358795"/>
        </a:xfrm>
        <a:prstGeom prst="rect">
          <a:avLst/>
        </a:prstGeom>
      </xdr:spPr>
    </xdr:pic>
    <xdr:clientData/>
  </xdr:oneCellAnchor>
  <xdr:twoCellAnchor editAs="oneCell">
    <xdr:from>
      <xdr:col>17</xdr:col>
      <xdr:colOff>573405</xdr:colOff>
      <xdr:row>1</xdr:row>
      <xdr:rowOff>118110</xdr:rowOff>
    </xdr:from>
    <xdr:to>
      <xdr:col>20</xdr:col>
      <xdr:colOff>56090</xdr:colOff>
      <xdr:row>3</xdr:row>
      <xdr:rowOff>38129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A5844934-DB01-4E1E-B440-F004CB956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690485" y="285750"/>
          <a:ext cx="953345" cy="331499"/>
        </a:xfrm>
        <a:prstGeom prst="rect">
          <a:avLst/>
        </a:prstGeom>
      </xdr:spPr>
    </xdr:pic>
    <xdr:clientData/>
  </xdr:twoCellAnchor>
  <xdr:twoCellAnchor editAs="oneCell">
    <xdr:from>
      <xdr:col>14</xdr:col>
      <xdr:colOff>60961</xdr:colOff>
      <xdr:row>1</xdr:row>
      <xdr:rowOff>47779</xdr:rowOff>
    </xdr:from>
    <xdr:to>
      <xdr:col>17</xdr:col>
      <xdr:colOff>220981</xdr:colOff>
      <xdr:row>3</xdr:row>
      <xdr:rowOff>202743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DA2AE910-73D1-49AF-B697-31477737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26481" y="215419"/>
          <a:ext cx="1249680" cy="566444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F98B-0938-4ABB-BFDC-2E51B05C143F}">
  <sheetPr codeName="Foglio3"/>
  <dimension ref="B1:BY346"/>
  <sheetViews>
    <sheetView zoomScale="85" zoomScaleNormal="85" workbookViewId="0">
      <selection activeCell="I26" sqref="I26"/>
    </sheetView>
  </sheetViews>
  <sheetFormatPr defaultColWidth="9" defaultRowHeight="15.6" x14ac:dyDescent="0.3"/>
  <cols>
    <col min="1" max="1" width="2.19921875" style="3" customWidth="1"/>
    <col min="2" max="2" width="10.296875" style="3" bestFit="1" customWidth="1"/>
    <col min="3" max="3" width="65" style="3" customWidth="1"/>
    <col min="4" max="4" width="3.69921875" style="3" customWidth="1"/>
    <col min="5" max="5" width="25.69921875" style="3" bestFit="1" customWidth="1"/>
    <col min="6" max="6" width="1.69921875" style="3" customWidth="1"/>
    <col min="7" max="7" width="24.19921875" style="3" bestFit="1" customWidth="1"/>
    <col min="8" max="8" width="3.69921875" style="3" customWidth="1"/>
    <col min="9" max="9" width="15" style="3" bestFit="1" customWidth="1"/>
    <col min="10" max="10" width="3.296875" style="3" customWidth="1"/>
    <col min="11" max="11" width="37.69921875" style="3" customWidth="1"/>
    <col min="12" max="12" width="6.296875" style="102" customWidth="1"/>
    <col min="13" max="13" width="2.69921875" style="3" customWidth="1"/>
    <col min="14" max="14" width="25.19921875" style="3" customWidth="1"/>
    <col min="15" max="15" width="2.69921875" style="3" customWidth="1"/>
    <col min="16" max="16" width="20.69921875" style="3" bestFit="1" customWidth="1"/>
    <col min="17" max="17" width="7" style="3" hidden="1" customWidth="1"/>
    <col min="18" max="18" width="3.296875" style="3" hidden="1" customWidth="1"/>
    <col min="19" max="19" width="20.69921875" style="3" hidden="1" customWidth="1"/>
    <col min="20" max="20" width="5.296875" style="3" hidden="1" customWidth="1"/>
    <col min="21" max="21" width="3.69921875" style="3" hidden="1" customWidth="1"/>
    <col min="22" max="22" width="17.19921875" style="3" hidden="1" customWidth="1"/>
    <col min="23" max="23" width="5.5" style="3" hidden="1" customWidth="1"/>
    <col min="24" max="24" width="2.69921875" style="3" hidden="1" customWidth="1"/>
    <col min="25" max="25" width="17.796875" style="3" hidden="1" customWidth="1"/>
    <col min="26" max="26" width="9" style="3" hidden="1" customWidth="1"/>
    <col min="27" max="27" width="3" style="3" hidden="1" customWidth="1"/>
    <col min="28" max="28" width="19.19921875" style="3" hidden="1" customWidth="1"/>
    <col min="29" max="29" width="9" style="3" hidden="1" customWidth="1"/>
    <col min="30" max="30" width="2.19921875" style="3" hidden="1" customWidth="1"/>
    <col min="31" max="31" width="18.5" style="3" hidden="1" customWidth="1"/>
    <col min="32" max="32" width="9" style="3" hidden="1" customWidth="1"/>
    <col min="33" max="33" width="3.69921875" style="3" hidden="1" customWidth="1"/>
    <col min="34" max="34" width="19.19921875" style="3" hidden="1" customWidth="1"/>
    <col min="35" max="35" width="6.796875" style="3" hidden="1" customWidth="1"/>
    <col min="36" max="36" width="6.296875" style="3" hidden="1" customWidth="1"/>
    <col min="37" max="37" width="9.796875" style="3" hidden="1" customWidth="1"/>
    <col min="38" max="38" width="2.69921875" style="3" hidden="1" customWidth="1"/>
    <col min="39" max="40" width="9" style="3" hidden="1" customWidth="1"/>
    <col min="41" max="41" width="3" style="3" hidden="1" customWidth="1"/>
    <col min="42" max="42" width="9" style="3" hidden="1" customWidth="1"/>
    <col min="43" max="43" width="52.796875" style="3" hidden="1" customWidth="1"/>
    <col min="44" max="45" width="10.19921875" style="3" hidden="1" customWidth="1"/>
    <col min="46" max="46" width="2.5" style="3" hidden="1" customWidth="1"/>
    <col min="47" max="47" width="56.19921875" style="3" hidden="1" customWidth="1"/>
    <col min="48" max="48" width="9" style="3" hidden="1" customWidth="1"/>
    <col min="49" max="49" width="3" style="3" hidden="1" customWidth="1"/>
    <col min="50" max="57" width="9" style="3" hidden="1" customWidth="1"/>
    <col min="58" max="58" width="4.19921875" style="3" hidden="1" customWidth="1"/>
    <col min="59" max="59" width="13" style="3" hidden="1" customWidth="1"/>
    <col min="60" max="60" width="3.69921875" style="3" hidden="1" customWidth="1"/>
    <col min="61" max="61" width="3.19921875" style="3" hidden="1" customWidth="1"/>
    <col min="62" max="62" width="23.19921875" style="3" hidden="1" customWidth="1"/>
    <col min="63" max="63" width="9" style="3" hidden="1" customWidth="1"/>
    <col min="64" max="64" width="20.796875" style="3" hidden="1" customWidth="1"/>
    <col min="65" max="65" width="10.5" style="3" hidden="1" customWidth="1"/>
    <col min="66" max="66" width="9" style="102" hidden="1" customWidth="1"/>
    <col min="67" max="67" width="9" style="3" hidden="1" customWidth="1"/>
    <col min="68" max="68" width="16.5" style="3" hidden="1" customWidth="1"/>
    <col min="69" max="77" width="8.19921875" style="3" hidden="1" customWidth="1"/>
    <col min="78" max="78" width="9" style="3" customWidth="1"/>
    <col min="79" max="16384" width="9" style="3"/>
  </cols>
  <sheetData>
    <row r="1" spans="2:77" ht="16.2" thickBot="1" x14ac:dyDescent="0.35">
      <c r="B1" s="490" t="s">
        <v>1646</v>
      </c>
      <c r="C1" s="490"/>
      <c r="D1" s="490"/>
      <c r="E1" s="490"/>
      <c r="F1" s="490"/>
      <c r="G1" s="490"/>
      <c r="H1" s="490"/>
      <c r="I1" s="490"/>
      <c r="J1" s="490"/>
      <c r="K1" s="490"/>
      <c r="L1" s="490"/>
      <c r="M1" s="490"/>
      <c r="N1" s="490"/>
      <c r="O1" s="490"/>
      <c r="P1" s="490"/>
      <c r="BQ1" s="319" t="s">
        <v>1082</v>
      </c>
      <c r="BR1" s="397"/>
      <c r="BS1" s="397"/>
      <c r="BT1" s="397"/>
      <c r="BU1" s="397"/>
      <c r="BV1" s="397"/>
      <c r="BW1" s="397"/>
      <c r="BX1" s="397"/>
      <c r="BY1" s="398"/>
    </row>
    <row r="2" spans="2:77" ht="16.2" thickBot="1" x14ac:dyDescent="0.35">
      <c r="L2" s="94"/>
      <c r="BP2" s="399"/>
      <c r="BQ2" s="320" t="s">
        <v>507</v>
      </c>
      <c r="BR2" s="321" t="s">
        <v>508</v>
      </c>
      <c r="BS2" s="321" t="s">
        <v>509</v>
      </c>
      <c r="BT2" s="321" t="s">
        <v>510</v>
      </c>
      <c r="BU2" s="321" t="s">
        <v>1034</v>
      </c>
      <c r="BV2" s="400" t="s">
        <v>1035</v>
      </c>
      <c r="BW2" s="321" t="s">
        <v>633</v>
      </c>
      <c r="BX2" s="400" t="s">
        <v>746</v>
      </c>
      <c r="BY2" s="322" t="s">
        <v>511</v>
      </c>
    </row>
    <row r="3" spans="2:77" ht="16.2" thickBot="1" x14ac:dyDescent="0.35">
      <c r="C3" s="323" t="s">
        <v>460</v>
      </c>
      <c r="E3" s="324" t="s">
        <v>563</v>
      </c>
      <c r="G3" s="324" t="s">
        <v>564</v>
      </c>
      <c r="I3" s="324" t="s">
        <v>590</v>
      </c>
      <c r="K3" s="325" t="s">
        <v>171</v>
      </c>
      <c r="L3" s="401" t="s">
        <v>494</v>
      </c>
      <c r="N3" s="324" t="s">
        <v>720</v>
      </c>
      <c r="P3" s="324" t="s">
        <v>721</v>
      </c>
      <c r="S3" s="493" t="s">
        <v>547</v>
      </c>
      <c r="T3" s="494"/>
      <c r="V3" s="493" t="s">
        <v>484</v>
      </c>
      <c r="W3" s="494"/>
      <c r="Y3" s="493" t="s">
        <v>512</v>
      </c>
      <c r="Z3" s="494"/>
      <c r="AB3" s="493" t="s">
        <v>515</v>
      </c>
      <c r="AC3" s="494"/>
      <c r="AE3" s="493" t="s">
        <v>538</v>
      </c>
      <c r="AF3" s="494"/>
      <c r="AH3" s="325" t="s">
        <v>992</v>
      </c>
      <c r="AI3" s="326" t="s">
        <v>993</v>
      </c>
      <c r="AJ3" s="326" t="s">
        <v>990</v>
      </c>
      <c r="AK3" s="327" t="s">
        <v>991</v>
      </c>
      <c r="AM3" s="328" t="s">
        <v>494</v>
      </c>
      <c r="AN3" s="329" t="s">
        <v>26</v>
      </c>
      <c r="AP3" s="491" t="s">
        <v>1669</v>
      </c>
      <c r="AQ3" s="492"/>
      <c r="AU3" s="491" t="s">
        <v>1047</v>
      </c>
      <c r="AV3" s="492"/>
      <c r="AY3" s="491" t="s">
        <v>1051</v>
      </c>
      <c r="AZ3" s="497"/>
      <c r="BA3" s="497"/>
      <c r="BB3" s="497"/>
      <c r="BC3" s="497"/>
      <c r="BD3" s="497"/>
      <c r="BE3" s="492"/>
      <c r="BG3" s="324" t="s">
        <v>1054</v>
      </c>
      <c r="BI3" s="498" t="s">
        <v>182</v>
      </c>
      <c r="BJ3" s="499"/>
      <c r="BL3" s="402" t="s">
        <v>1174</v>
      </c>
      <c r="BM3" s="403"/>
      <c r="BN3" s="404" t="s">
        <v>1173</v>
      </c>
      <c r="BP3" s="405" t="s">
        <v>1081</v>
      </c>
      <c r="BQ3" s="406">
        <v>2</v>
      </c>
      <c r="BR3" s="407">
        <v>3</v>
      </c>
      <c r="BS3" s="407">
        <v>4</v>
      </c>
      <c r="BT3" s="407">
        <v>5</v>
      </c>
      <c r="BU3" s="407">
        <v>6</v>
      </c>
      <c r="BV3" s="407">
        <v>7</v>
      </c>
      <c r="BW3" s="407">
        <v>8</v>
      </c>
      <c r="BX3" s="407">
        <v>9</v>
      </c>
      <c r="BY3" s="408">
        <v>10</v>
      </c>
    </row>
    <row r="4" spans="2:77" ht="16.2" thickBot="1" x14ac:dyDescent="0.35">
      <c r="B4" s="330">
        <v>1</v>
      </c>
      <c r="C4" s="331" t="s">
        <v>1181</v>
      </c>
      <c r="E4" s="56"/>
      <c r="G4" s="56"/>
      <c r="I4" s="56" t="s">
        <v>464</v>
      </c>
      <c r="K4" s="336"/>
      <c r="L4" s="412"/>
      <c r="N4" s="56" t="s">
        <v>1195</v>
      </c>
      <c r="P4" s="56" t="s">
        <v>1196</v>
      </c>
      <c r="S4" s="196" t="s">
        <v>543</v>
      </c>
      <c r="T4" s="332">
        <v>2</v>
      </c>
      <c r="V4" s="166" t="s">
        <v>479</v>
      </c>
      <c r="W4" s="333">
        <v>2</v>
      </c>
      <c r="Y4" s="334" t="s">
        <v>507</v>
      </c>
      <c r="Z4" s="333">
        <v>1</v>
      </c>
      <c r="AB4" s="334" t="s">
        <v>516</v>
      </c>
      <c r="AC4" s="333">
        <v>2</v>
      </c>
      <c r="AE4" s="409" t="s">
        <v>541</v>
      </c>
      <c r="AF4" s="333">
        <v>0</v>
      </c>
      <c r="AH4" s="410" t="s">
        <v>769</v>
      </c>
      <c r="AI4" s="411" t="s">
        <v>770</v>
      </c>
      <c r="AJ4" s="484">
        <v>7</v>
      </c>
      <c r="AK4" s="335">
        <v>101673.58918978789</v>
      </c>
      <c r="AM4" s="337" t="s">
        <v>190</v>
      </c>
      <c r="AN4" s="338" t="s">
        <v>495</v>
      </c>
      <c r="AP4" s="413" t="s">
        <v>495</v>
      </c>
      <c r="AQ4" s="414" t="s">
        <v>737</v>
      </c>
      <c r="AR4" s="415">
        <f>1/3</f>
        <v>0.33333333333333331</v>
      </c>
      <c r="AS4" s="413" t="s">
        <v>495</v>
      </c>
      <c r="AU4" s="416" t="s">
        <v>997</v>
      </c>
      <c r="AV4" s="339">
        <v>0</v>
      </c>
      <c r="AY4" s="417" t="s">
        <v>0</v>
      </c>
      <c r="AZ4" s="418" t="s">
        <v>505</v>
      </c>
      <c r="BA4" s="418" t="s">
        <v>506</v>
      </c>
      <c r="BB4" s="418" t="s">
        <v>556</v>
      </c>
      <c r="BC4" s="418" t="s">
        <v>0</v>
      </c>
      <c r="BD4" s="418" t="s">
        <v>505</v>
      </c>
      <c r="BE4" s="419" t="s">
        <v>506</v>
      </c>
      <c r="BG4" s="372" t="s">
        <v>36</v>
      </c>
      <c r="BI4" s="420">
        <v>1</v>
      </c>
      <c r="BJ4" s="367" t="s">
        <v>1010</v>
      </c>
      <c r="BL4" s="196" t="s">
        <v>543</v>
      </c>
      <c r="BM4" s="421">
        <v>1</v>
      </c>
      <c r="BN4" s="422">
        <v>10</v>
      </c>
      <c r="BP4" s="423">
        <v>0</v>
      </c>
      <c r="BQ4" s="340">
        <v>0.8</v>
      </c>
      <c r="BR4" s="340">
        <v>0.85</v>
      </c>
      <c r="BS4" s="340">
        <v>0.9</v>
      </c>
      <c r="BT4" s="340">
        <v>0.92</v>
      </c>
      <c r="BU4" s="340">
        <v>0.96</v>
      </c>
      <c r="BV4" s="340">
        <v>0.94</v>
      </c>
      <c r="BW4" s="340">
        <v>0.98</v>
      </c>
      <c r="BX4" s="340">
        <v>1</v>
      </c>
      <c r="BY4" s="341">
        <v>1</v>
      </c>
    </row>
    <row r="5" spans="2:77" x14ac:dyDescent="0.3">
      <c r="B5" s="342">
        <v>2</v>
      </c>
      <c r="C5" s="343" t="s">
        <v>1180</v>
      </c>
      <c r="E5" s="56" t="s">
        <v>565</v>
      </c>
      <c r="G5" s="56" t="s">
        <v>573</v>
      </c>
      <c r="I5" s="56" t="s">
        <v>1198</v>
      </c>
      <c r="K5" s="336" t="s">
        <v>117</v>
      </c>
      <c r="L5" s="412" t="s">
        <v>1085</v>
      </c>
      <c r="N5" s="56" t="s">
        <v>1199</v>
      </c>
      <c r="P5" s="56" t="s">
        <v>1200</v>
      </c>
      <c r="S5" s="196" t="s">
        <v>1665</v>
      </c>
      <c r="T5" s="332">
        <v>4</v>
      </c>
      <c r="V5" s="166" t="s">
        <v>480</v>
      </c>
      <c r="W5" s="333">
        <v>2</v>
      </c>
      <c r="Y5" s="334" t="s">
        <v>508</v>
      </c>
      <c r="Z5" s="333">
        <v>2</v>
      </c>
      <c r="AB5" s="166" t="s">
        <v>1055</v>
      </c>
      <c r="AC5" s="333">
        <v>4</v>
      </c>
      <c r="AE5" s="166" t="s">
        <v>1197</v>
      </c>
      <c r="AF5" s="333">
        <v>6</v>
      </c>
      <c r="AH5" s="410" t="s">
        <v>771</v>
      </c>
      <c r="AI5" s="411" t="s">
        <v>772</v>
      </c>
      <c r="AJ5" s="484">
        <v>4</v>
      </c>
      <c r="AK5" s="335">
        <v>110317.32845987706</v>
      </c>
      <c r="AM5" s="337" t="s">
        <v>191</v>
      </c>
      <c r="AN5" s="338" t="s">
        <v>496</v>
      </c>
      <c r="AP5" s="424" t="s">
        <v>496</v>
      </c>
      <c r="AQ5" s="425" t="s">
        <v>737</v>
      </c>
      <c r="AR5" s="415">
        <f>1/20</f>
        <v>0.05</v>
      </c>
      <c r="AS5" s="424" t="s">
        <v>496</v>
      </c>
      <c r="AU5" s="426" t="s">
        <v>998</v>
      </c>
      <c r="AV5" s="333">
        <v>5</v>
      </c>
      <c r="AX5" s="41" t="s">
        <v>549</v>
      </c>
      <c r="AY5" s="344">
        <v>45</v>
      </c>
      <c r="AZ5" s="345">
        <v>0.15</v>
      </c>
      <c r="BA5" s="346">
        <v>2200</v>
      </c>
      <c r="BB5" s="346">
        <v>350</v>
      </c>
      <c r="BC5" s="345">
        <v>40</v>
      </c>
      <c r="BD5" s="345">
        <v>0.06</v>
      </c>
      <c r="BE5" s="332">
        <v>4500</v>
      </c>
      <c r="BG5" s="372" t="s">
        <v>35</v>
      </c>
      <c r="BI5" s="420">
        <v>2</v>
      </c>
      <c r="BJ5" s="367" t="s">
        <v>1011</v>
      </c>
      <c r="BL5" s="196" t="s">
        <v>1665</v>
      </c>
      <c r="BM5" s="421">
        <v>0.95</v>
      </c>
      <c r="BN5" s="422">
        <v>20</v>
      </c>
      <c r="BP5" s="423">
        <v>5</v>
      </c>
      <c r="BQ5" s="347">
        <v>0.75</v>
      </c>
      <c r="BR5" s="347">
        <v>0.8</v>
      </c>
      <c r="BS5" s="347">
        <v>0.85</v>
      </c>
      <c r="BT5" s="347">
        <v>0.87</v>
      </c>
      <c r="BU5" s="347">
        <v>0.91</v>
      </c>
      <c r="BV5" s="347">
        <v>0.89</v>
      </c>
      <c r="BW5" s="347">
        <v>0.93</v>
      </c>
      <c r="BX5" s="347">
        <v>0.95</v>
      </c>
      <c r="BY5" s="348">
        <v>0.95</v>
      </c>
    </row>
    <row r="6" spans="2:77" x14ac:dyDescent="0.3">
      <c r="B6" s="342">
        <v>3</v>
      </c>
      <c r="C6" s="343" t="s">
        <v>1179</v>
      </c>
      <c r="E6" s="56" t="s">
        <v>572</v>
      </c>
      <c r="G6" s="56" t="s">
        <v>571</v>
      </c>
      <c r="I6" s="56" t="s">
        <v>162</v>
      </c>
      <c r="K6" s="349" t="s">
        <v>115</v>
      </c>
      <c r="L6" s="412" t="s">
        <v>1085</v>
      </c>
      <c r="N6" s="56" t="s">
        <v>675</v>
      </c>
      <c r="P6" s="56" t="s">
        <v>695</v>
      </c>
      <c r="S6" s="196" t="s">
        <v>1666</v>
      </c>
      <c r="T6" s="332">
        <v>6</v>
      </c>
      <c r="V6" s="166" t="s">
        <v>589</v>
      </c>
      <c r="W6" s="333">
        <v>2</v>
      </c>
      <c r="Y6" s="334" t="s">
        <v>509</v>
      </c>
      <c r="Z6" s="333">
        <v>4</v>
      </c>
      <c r="AB6" s="166" t="s">
        <v>1201</v>
      </c>
      <c r="AC6" s="333">
        <v>5</v>
      </c>
      <c r="AE6" s="166" t="s">
        <v>539</v>
      </c>
      <c r="AF6" s="333">
        <v>8</v>
      </c>
      <c r="AH6" s="410" t="s">
        <v>773</v>
      </c>
      <c r="AI6" s="411" t="s">
        <v>774</v>
      </c>
      <c r="AJ6" s="484">
        <v>6</v>
      </c>
      <c r="AK6" s="335">
        <v>116914.21609348175</v>
      </c>
      <c r="AM6" s="337" t="s">
        <v>192</v>
      </c>
      <c r="AN6" s="338" t="s">
        <v>497</v>
      </c>
      <c r="AP6" s="427" t="s">
        <v>4</v>
      </c>
      <c r="AQ6" s="425" t="s">
        <v>737</v>
      </c>
      <c r="AR6" s="415">
        <f>1/100</f>
        <v>0.01</v>
      </c>
      <c r="AS6" s="427" t="s">
        <v>4</v>
      </c>
      <c r="AU6" s="426" t="s">
        <v>1203</v>
      </c>
      <c r="AV6" s="333">
        <v>10</v>
      </c>
      <c r="AX6" s="56" t="s">
        <v>168</v>
      </c>
      <c r="AY6" s="344">
        <v>12</v>
      </c>
      <c r="AZ6" s="345">
        <v>0.4</v>
      </c>
      <c r="BA6" s="346">
        <v>100</v>
      </c>
      <c r="BE6" s="428"/>
      <c r="BG6" s="372" t="s">
        <v>34</v>
      </c>
      <c r="BI6" s="420">
        <v>3</v>
      </c>
      <c r="BJ6" s="367" t="s">
        <v>1012</v>
      </c>
      <c r="BL6" s="196" t="s">
        <v>1666</v>
      </c>
      <c r="BM6" s="421">
        <v>0.9</v>
      </c>
      <c r="BN6" s="422">
        <v>30</v>
      </c>
      <c r="BP6" s="423">
        <v>10</v>
      </c>
      <c r="BQ6" s="347">
        <v>0.7</v>
      </c>
      <c r="BR6" s="347">
        <v>0.75</v>
      </c>
      <c r="BS6" s="347">
        <v>0.8</v>
      </c>
      <c r="BT6" s="347">
        <v>0.82</v>
      </c>
      <c r="BU6" s="347">
        <v>0.86</v>
      </c>
      <c r="BV6" s="347">
        <v>0.84</v>
      </c>
      <c r="BW6" s="347">
        <v>0.88</v>
      </c>
      <c r="BX6" s="347">
        <v>0.9</v>
      </c>
      <c r="BY6" s="348">
        <v>0.9</v>
      </c>
    </row>
    <row r="7" spans="2:77" x14ac:dyDescent="0.3">
      <c r="B7" s="342">
        <v>4</v>
      </c>
      <c r="C7" s="343" t="s">
        <v>579</v>
      </c>
      <c r="E7" s="56" t="s">
        <v>566</v>
      </c>
      <c r="G7" s="56" t="s">
        <v>572</v>
      </c>
      <c r="I7" s="56" t="s">
        <v>648</v>
      </c>
      <c r="K7" s="349" t="s">
        <v>1202</v>
      </c>
      <c r="L7" s="412" t="s">
        <v>1085</v>
      </c>
      <c r="N7" s="56" t="s">
        <v>663</v>
      </c>
      <c r="P7" s="56" t="s">
        <v>696</v>
      </c>
      <c r="S7" s="196" t="s">
        <v>544</v>
      </c>
      <c r="T7" s="332">
        <v>8</v>
      </c>
      <c r="V7" s="166" t="s">
        <v>481</v>
      </c>
      <c r="W7" s="333">
        <v>2</v>
      </c>
      <c r="Y7" s="334" t="s">
        <v>510</v>
      </c>
      <c r="Z7" s="333">
        <v>8</v>
      </c>
      <c r="AB7" s="334" t="s">
        <v>517</v>
      </c>
      <c r="AC7" s="333">
        <v>6</v>
      </c>
      <c r="AE7" s="166" t="s">
        <v>1204</v>
      </c>
      <c r="AF7" s="333">
        <v>10</v>
      </c>
      <c r="AH7" s="410" t="s">
        <v>775</v>
      </c>
      <c r="AI7" s="411" t="s">
        <v>776</v>
      </c>
      <c r="AJ7" s="484">
        <v>2</v>
      </c>
      <c r="AK7" s="335">
        <v>116630.66954643629</v>
      </c>
      <c r="AM7" s="337" t="s">
        <v>193</v>
      </c>
      <c r="AN7" s="338" t="s">
        <v>335</v>
      </c>
      <c r="AP7" s="427" t="s">
        <v>497</v>
      </c>
      <c r="AQ7" s="425" t="s">
        <v>737</v>
      </c>
      <c r="AR7" s="415">
        <f>1/200</f>
        <v>5.0000000000000001E-3</v>
      </c>
      <c r="AS7" s="427" t="s">
        <v>497</v>
      </c>
      <c r="AU7" s="426" t="s">
        <v>1206</v>
      </c>
      <c r="AV7" s="333">
        <v>15</v>
      </c>
      <c r="AX7" s="56" t="s">
        <v>76</v>
      </c>
      <c r="AY7" s="344">
        <v>35</v>
      </c>
      <c r="AZ7" s="345">
        <v>0.22</v>
      </c>
      <c r="BA7" s="346">
        <v>125</v>
      </c>
      <c r="BE7" s="428"/>
      <c r="BG7" s="372" t="s">
        <v>174</v>
      </c>
      <c r="BI7" s="420">
        <v>4</v>
      </c>
      <c r="BJ7" s="367" t="s">
        <v>1013</v>
      </c>
      <c r="BL7" s="196" t="s">
        <v>544</v>
      </c>
      <c r="BM7" s="421">
        <v>0.85</v>
      </c>
      <c r="BN7" s="422">
        <v>40</v>
      </c>
      <c r="BP7" s="423">
        <v>15</v>
      </c>
      <c r="BQ7" s="347">
        <v>0.65</v>
      </c>
      <c r="BR7" s="347">
        <v>0.7</v>
      </c>
      <c r="BS7" s="347">
        <v>0.75</v>
      </c>
      <c r="BT7" s="347">
        <v>0.77</v>
      </c>
      <c r="BU7" s="347">
        <v>0.81</v>
      </c>
      <c r="BV7" s="347">
        <v>0.79</v>
      </c>
      <c r="BW7" s="347">
        <v>0.83</v>
      </c>
      <c r="BX7" s="347">
        <v>0.85</v>
      </c>
      <c r="BY7" s="348">
        <v>0.85</v>
      </c>
    </row>
    <row r="8" spans="2:77" x14ac:dyDescent="0.3">
      <c r="B8" s="342">
        <v>5</v>
      </c>
      <c r="C8" s="343" t="s">
        <v>1182</v>
      </c>
      <c r="E8" s="56" t="s">
        <v>567</v>
      </c>
      <c r="G8" s="56" t="s">
        <v>566</v>
      </c>
      <c r="I8" s="56" t="s">
        <v>486</v>
      </c>
      <c r="K8" s="350" t="s">
        <v>1205</v>
      </c>
      <c r="L8" s="412" t="s">
        <v>1085</v>
      </c>
      <c r="N8" s="56" t="s">
        <v>650</v>
      </c>
      <c r="P8" s="56" t="s">
        <v>697</v>
      </c>
      <c r="S8" s="196" t="s">
        <v>1667</v>
      </c>
      <c r="T8" s="332">
        <v>12</v>
      </c>
      <c r="V8" s="166" t="s">
        <v>482</v>
      </c>
      <c r="W8" s="333">
        <v>2</v>
      </c>
      <c r="Y8" s="334" t="s">
        <v>1034</v>
      </c>
      <c r="Z8" s="333">
        <v>10</v>
      </c>
      <c r="AB8" s="334" t="s">
        <v>518</v>
      </c>
      <c r="AC8" s="333">
        <v>8</v>
      </c>
      <c r="AE8" s="166" t="s">
        <v>1036</v>
      </c>
      <c r="AF8" s="333">
        <v>12</v>
      </c>
      <c r="AH8" s="410" t="s">
        <v>777</v>
      </c>
      <c r="AI8" s="411" t="s">
        <v>778</v>
      </c>
      <c r="AJ8" s="484">
        <v>4</v>
      </c>
      <c r="AK8" s="335">
        <v>107504.0150634103</v>
      </c>
      <c r="AM8" s="337" t="s">
        <v>194</v>
      </c>
      <c r="AN8" s="338" t="s">
        <v>334</v>
      </c>
      <c r="AP8" s="427" t="s">
        <v>504</v>
      </c>
      <c r="AQ8" s="425" t="s">
        <v>737</v>
      </c>
      <c r="AR8" s="415">
        <f>1/800</f>
        <v>1.25E-3</v>
      </c>
      <c r="AS8" s="427" t="s">
        <v>504</v>
      </c>
      <c r="AU8" s="426" t="s">
        <v>1031</v>
      </c>
      <c r="AV8" s="333">
        <v>20</v>
      </c>
      <c r="AX8" s="56"/>
      <c r="AY8" s="31"/>
      <c r="AZ8" s="351"/>
      <c r="BA8" s="352" t="s">
        <v>3</v>
      </c>
      <c r="BB8" s="352" t="s">
        <v>25</v>
      </c>
      <c r="BC8" s="352" t="s">
        <v>513</v>
      </c>
      <c r="BD8" s="352" t="s">
        <v>5</v>
      </c>
      <c r="BE8" s="353" t="s">
        <v>514</v>
      </c>
      <c r="BG8" s="372" t="s">
        <v>186</v>
      </c>
      <c r="BI8" s="420">
        <v>5</v>
      </c>
      <c r="BJ8" s="367" t="s">
        <v>1014</v>
      </c>
      <c r="BL8" s="196" t="s">
        <v>1667</v>
      </c>
      <c r="BM8" s="421">
        <v>0.8</v>
      </c>
      <c r="BN8" s="422">
        <v>60</v>
      </c>
      <c r="BP8" s="423">
        <v>20</v>
      </c>
      <c r="BQ8" s="347">
        <v>0.6</v>
      </c>
      <c r="BR8" s="347">
        <v>0.65</v>
      </c>
      <c r="BS8" s="347">
        <v>0.7</v>
      </c>
      <c r="BT8" s="347">
        <v>0.72</v>
      </c>
      <c r="BU8" s="347">
        <v>0.76</v>
      </c>
      <c r="BV8" s="347">
        <v>0.74</v>
      </c>
      <c r="BW8" s="347">
        <v>0.78</v>
      </c>
      <c r="BX8" s="347">
        <v>0.8</v>
      </c>
      <c r="BY8" s="348">
        <v>0.8</v>
      </c>
    </row>
    <row r="9" spans="2:77" ht="16.2" thickBot="1" x14ac:dyDescent="0.35">
      <c r="B9" s="342">
        <v>6</v>
      </c>
      <c r="C9" s="343" t="s">
        <v>1207</v>
      </c>
      <c r="E9" s="56" t="s">
        <v>767</v>
      </c>
      <c r="G9" s="56" t="s">
        <v>567</v>
      </c>
      <c r="I9" s="56" t="s">
        <v>463</v>
      </c>
      <c r="K9" s="350" t="s">
        <v>114</v>
      </c>
      <c r="L9" s="412" t="s">
        <v>1086</v>
      </c>
      <c r="N9" s="56" t="s">
        <v>676</v>
      </c>
      <c r="P9" s="56" t="s">
        <v>698</v>
      </c>
      <c r="S9" s="196" t="s">
        <v>545</v>
      </c>
      <c r="T9" s="332">
        <v>10</v>
      </c>
      <c r="V9" s="166" t="s">
        <v>478</v>
      </c>
      <c r="W9" s="333">
        <v>1</v>
      </c>
      <c r="Y9" s="166" t="s">
        <v>1035</v>
      </c>
      <c r="Z9" s="333">
        <v>8</v>
      </c>
      <c r="AB9" s="334" t="s">
        <v>1037</v>
      </c>
      <c r="AC9" s="333">
        <v>10</v>
      </c>
      <c r="AE9" s="88" t="s">
        <v>530</v>
      </c>
      <c r="AF9" s="354">
        <v>14</v>
      </c>
      <c r="AH9" s="410" t="s">
        <v>779</v>
      </c>
      <c r="AI9" s="411" t="s">
        <v>780</v>
      </c>
      <c r="AJ9" s="484">
        <v>6</v>
      </c>
      <c r="AK9" s="335">
        <v>100929.27950379354</v>
      </c>
      <c r="AM9" s="337" t="s">
        <v>195</v>
      </c>
      <c r="AN9" s="338" t="s">
        <v>333</v>
      </c>
      <c r="AP9" s="427" t="s">
        <v>22</v>
      </c>
      <c r="AQ9" s="425" t="s">
        <v>737</v>
      </c>
      <c r="AR9" s="415">
        <f>1/1000</f>
        <v>1E-3</v>
      </c>
      <c r="AS9" s="427" t="s">
        <v>22</v>
      </c>
      <c r="AU9" s="426" t="s">
        <v>1030</v>
      </c>
      <c r="AV9" s="333">
        <v>30</v>
      </c>
      <c r="AX9" s="56" t="s">
        <v>1052</v>
      </c>
      <c r="AY9" s="31"/>
      <c r="AZ9" s="352" t="s">
        <v>0</v>
      </c>
      <c r="BA9" s="345">
        <v>12</v>
      </c>
      <c r="BB9" s="345">
        <v>15</v>
      </c>
      <c r="BC9" s="345">
        <v>17</v>
      </c>
      <c r="BD9" s="345">
        <v>19</v>
      </c>
      <c r="BE9" s="355">
        <v>21</v>
      </c>
      <c r="BG9" s="372" t="s">
        <v>187</v>
      </c>
      <c r="BI9" s="420">
        <v>6</v>
      </c>
      <c r="BJ9" s="367" t="s">
        <v>1015</v>
      </c>
      <c r="BL9" s="196" t="s">
        <v>545</v>
      </c>
      <c r="BM9" s="421">
        <v>0.75</v>
      </c>
      <c r="BN9" s="422">
        <v>80</v>
      </c>
      <c r="BP9" s="423">
        <v>25</v>
      </c>
      <c r="BQ9" s="347">
        <v>0.55000000000000004</v>
      </c>
      <c r="BR9" s="347">
        <v>0.6</v>
      </c>
      <c r="BS9" s="347">
        <v>0.65</v>
      </c>
      <c r="BT9" s="347">
        <v>0.67</v>
      </c>
      <c r="BU9" s="347">
        <v>0.71</v>
      </c>
      <c r="BV9" s="347">
        <v>0.69</v>
      </c>
      <c r="BW9" s="347">
        <v>0.73</v>
      </c>
      <c r="BX9" s="347">
        <v>0.75</v>
      </c>
      <c r="BY9" s="348">
        <v>0.75</v>
      </c>
    </row>
    <row r="10" spans="2:77" ht="16.2" thickBot="1" x14ac:dyDescent="0.35">
      <c r="B10" s="342">
        <v>7</v>
      </c>
      <c r="C10" s="343" t="s">
        <v>1193</v>
      </c>
      <c r="E10" s="56" t="s">
        <v>568</v>
      </c>
      <c r="G10" s="56" t="s">
        <v>767</v>
      </c>
      <c r="I10" s="56" t="s">
        <v>487</v>
      </c>
      <c r="K10" s="350" t="s">
        <v>113</v>
      </c>
      <c r="L10" s="412" t="s">
        <v>1087</v>
      </c>
      <c r="N10" s="56" t="s">
        <v>664</v>
      </c>
      <c r="P10" s="56" t="s">
        <v>699</v>
      </c>
      <c r="S10" s="356" t="s">
        <v>546</v>
      </c>
      <c r="T10" s="357">
        <v>14</v>
      </c>
      <c r="V10" s="166" t="s">
        <v>1178</v>
      </c>
      <c r="W10" s="333">
        <v>5</v>
      </c>
      <c r="Y10" s="334" t="s">
        <v>633</v>
      </c>
      <c r="Z10" s="333">
        <v>12</v>
      </c>
      <c r="AB10" s="334" t="s">
        <v>520</v>
      </c>
      <c r="AC10" s="333">
        <v>12</v>
      </c>
      <c r="AH10" s="410" t="s">
        <v>781</v>
      </c>
      <c r="AI10" s="411" t="s">
        <v>782</v>
      </c>
      <c r="AJ10" s="484">
        <v>3</v>
      </c>
      <c r="AK10" s="335">
        <v>109223.01600487345</v>
      </c>
      <c r="AM10" s="337" t="s">
        <v>196</v>
      </c>
      <c r="AN10" s="338" t="s">
        <v>24</v>
      </c>
      <c r="AP10" s="429" t="s">
        <v>335</v>
      </c>
      <c r="AQ10" s="425" t="s">
        <v>587</v>
      </c>
      <c r="AR10" s="415">
        <f>1/2000</f>
        <v>5.0000000000000001E-4</v>
      </c>
      <c r="AS10" s="429" t="s">
        <v>335</v>
      </c>
      <c r="AU10" s="430" t="s">
        <v>1022</v>
      </c>
      <c r="AV10" s="354">
        <v>35</v>
      </c>
      <c r="AX10" s="56" t="s">
        <v>1052</v>
      </c>
      <c r="AY10" s="31"/>
      <c r="AZ10" s="352" t="s">
        <v>505</v>
      </c>
      <c r="BA10" s="345">
        <v>0.59</v>
      </c>
      <c r="BB10" s="345">
        <v>0.66</v>
      </c>
      <c r="BC10" s="345">
        <v>0.72</v>
      </c>
      <c r="BD10" s="345">
        <v>0.77</v>
      </c>
      <c r="BE10" s="355">
        <v>0.82</v>
      </c>
      <c r="BG10" s="372" t="s">
        <v>188</v>
      </c>
      <c r="BI10" s="431">
        <v>7</v>
      </c>
      <c r="BJ10" s="375" t="s">
        <v>1016</v>
      </c>
      <c r="BL10" s="356" t="s">
        <v>546</v>
      </c>
      <c r="BM10" s="432">
        <v>0.7</v>
      </c>
      <c r="BN10" s="433">
        <v>100</v>
      </c>
      <c r="BP10" s="423">
        <v>30</v>
      </c>
      <c r="BQ10" s="347">
        <v>0.5</v>
      </c>
      <c r="BR10" s="347">
        <v>0.55000000000000004</v>
      </c>
      <c r="BS10" s="347">
        <v>0.6</v>
      </c>
      <c r="BT10" s="347">
        <v>0.62</v>
      </c>
      <c r="BU10" s="347">
        <v>0.66</v>
      </c>
      <c r="BV10" s="347">
        <v>0.64</v>
      </c>
      <c r="BW10" s="347">
        <v>0.68</v>
      </c>
      <c r="BX10" s="347">
        <v>0.7</v>
      </c>
      <c r="BY10" s="348">
        <v>0.7</v>
      </c>
    </row>
    <row r="11" spans="2:77" ht="16.2" thickBot="1" x14ac:dyDescent="0.35">
      <c r="B11" s="342" t="s">
        <v>758</v>
      </c>
      <c r="C11" s="343" t="s">
        <v>532</v>
      </c>
      <c r="E11" s="56" t="s">
        <v>768</v>
      </c>
      <c r="G11" s="56" t="s">
        <v>766</v>
      </c>
      <c r="I11" s="56" t="s">
        <v>488</v>
      </c>
      <c r="K11" s="350" t="s">
        <v>112</v>
      </c>
      <c r="L11" s="412" t="s">
        <v>1087</v>
      </c>
      <c r="N11" s="56" t="s">
        <v>1209</v>
      </c>
      <c r="P11" s="56" t="s">
        <v>700</v>
      </c>
      <c r="V11" s="166" t="s">
        <v>477</v>
      </c>
      <c r="W11" s="333">
        <v>6</v>
      </c>
      <c r="Y11" s="166" t="s">
        <v>746</v>
      </c>
      <c r="Z11" s="333">
        <v>3</v>
      </c>
      <c r="AB11" s="358" t="s">
        <v>521</v>
      </c>
      <c r="AC11" s="354">
        <v>14</v>
      </c>
      <c r="AE11" s="495" t="s">
        <v>1208</v>
      </c>
      <c r="AF11" s="496"/>
      <c r="AH11" s="410" t="s">
        <v>783</v>
      </c>
      <c r="AI11" s="411" t="s">
        <v>784</v>
      </c>
      <c r="AJ11" s="484">
        <v>5</v>
      </c>
      <c r="AK11" s="335">
        <v>114185.08057816913</v>
      </c>
      <c r="AM11" s="337" t="s">
        <v>197</v>
      </c>
      <c r="AN11" s="338" t="s">
        <v>496</v>
      </c>
      <c r="AP11" s="429" t="s">
        <v>501</v>
      </c>
      <c r="AQ11" s="425" t="s">
        <v>587</v>
      </c>
      <c r="AR11" s="415">
        <f>1/8000</f>
        <v>1.25E-4</v>
      </c>
      <c r="AS11" s="429" t="s">
        <v>501</v>
      </c>
      <c r="AU11" s="434"/>
      <c r="AX11" s="56" t="s">
        <v>1052</v>
      </c>
      <c r="AY11" s="31"/>
      <c r="AZ11" s="352" t="s">
        <v>0</v>
      </c>
      <c r="BA11" s="345">
        <v>12</v>
      </c>
      <c r="BB11" s="345">
        <v>9.5</v>
      </c>
      <c r="BC11" s="345">
        <v>8.6</v>
      </c>
      <c r="BD11" s="345">
        <v>8.3000000000000007</v>
      </c>
      <c r="BE11" s="355">
        <v>8.1999999999999993</v>
      </c>
      <c r="BG11" s="435" t="s">
        <v>189</v>
      </c>
      <c r="BI11" s="108"/>
      <c r="BJ11" s="108"/>
      <c r="BP11" s="423">
        <v>35</v>
      </c>
      <c r="BQ11" s="347">
        <v>0.45</v>
      </c>
      <c r="BR11" s="347">
        <v>0.5</v>
      </c>
      <c r="BS11" s="347">
        <v>0.55000000000000004</v>
      </c>
      <c r="BT11" s="347">
        <v>0.56999999999999995</v>
      </c>
      <c r="BU11" s="347">
        <v>0.61</v>
      </c>
      <c r="BV11" s="347">
        <v>0.59</v>
      </c>
      <c r="BW11" s="347">
        <v>0.63</v>
      </c>
      <c r="BX11" s="347">
        <v>0.65</v>
      </c>
      <c r="BY11" s="348">
        <v>0.65</v>
      </c>
    </row>
    <row r="12" spans="2:77" ht="16.2" thickBot="1" x14ac:dyDescent="0.35">
      <c r="B12" s="342" t="s">
        <v>757</v>
      </c>
      <c r="C12" s="343" t="s">
        <v>532</v>
      </c>
      <c r="E12" s="56" t="s">
        <v>569</v>
      </c>
      <c r="G12" s="56" t="s">
        <v>121</v>
      </c>
      <c r="I12" s="56" t="s">
        <v>489</v>
      </c>
      <c r="K12" s="350" t="s">
        <v>111</v>
      </c>
      <c r="L12" s="412" t="s">
        <v>1087</v>
      </c>
      <c r="N12" s="56" t="s">
        <v>677</v>
      </c>
      <c r="P12" s="56" t="s">
        <v>701</v>
      </c>
      <c r="S12" s="495" t="s">
        <v>1044</v>
      </c>
      <c r="T12" s="496"/>
      <c r="V12" s="166" t="s">
        <v>559</v>
      </c>
      <c r="W12" s="333">
        <v>3</v>
      </c>
      <c r="Y12" s="360" t="s">
        <v>511</v>
      </c>
      <c r="Z12" s="354">
        <v>14</v>
      </c>
      <c r="AE12" s="166" t="s">
        <v>1211</v>
      </c>
      <c r="AF12" s="64" t="s">
        <v>3</v>
      </c>
      <c r="AH12" s="410" t="s">
        <v>785</v>
      </c>
      <c r="AI12" s="411" t="s">
        <v>786</v>
      </c>
      <c r="AJ12" s="484">
        <v>6</v>
      </c>
      <c r="AK12" s="335">
        <v>110826.82616159937</v>
      </c>
      <c r="AM12" s="337" t="s">
        <v>198</v>
      </c>
      <c r="AN12" s="338" t="s">
        <v>4</v>
      </c>
      <c r="AP12" s="436" t="s">
        <v>23</v>
      </c>
      <c r="AQ12" s="425" t="s">
        <v>100</v>
      </c>
      <c r="AR12" s="415">
        <f>1/10000</f>
        <v>1E-4</v>
      </c>
      <c r="AS12" s="436" t="s">
        <v>23</v>
      </c>
      <c r="AU12" s="491" t="s">
        <v>1049</v>
      </c>
      <c r="AV12" s="492"/>
      <c r="AX12" s="69" t="s">
        <v>1052</v>
      </c>
      <c r="AY12" s="437"/>
      <c r="AZ12" s="361" t="s">
        <v>505</v>
      </c>
      <c r="BA12" s="362">
        <v>0.57999999999999996</v>
      </c>
      <c r="BB12" s="362">
        <v>0.65</v>
      </c>
      <c r="BC12" s="362">
        <v>0.72</v>
      </c>
      <c r="BD12" s="362">
        <v>0.79</v>
      </c>
      <c r="BE12" s="363">
        <v>0.86</v>
      </c>
      <c r="BI12" s="498" t="s">
        <v>181</v>
      </c>
      <c r="BJ12" s="499"/>
      <c r="BL12" s="438"/>
      <c r="BP12" s="423">
        <v>40</v>
      </c>
      <c r="BQ12" s="347">
        <v>0.4</v>
      </c>
      <c r="BR12" s="347">
        <v>0.45000000000000101</v>
      </c>
      <c r="BS12" s="347">
        <v>0.5</v>
      </c>
      <c r="BT12" s="347">
        <v>0.52</v>
      </c>
      <c r="BU12" s="347">
        <v>0.56000000000000105</v>
      </c>
      <c r="BV12" s="347">
        <v>0.54000000000000103</v>
      </c>
      <c r="BW12" s="347">
        <v>0.58000000000000096</v>
      </c>
      <c r="BX12" s="347">
        <v>0.6</v>
      </c>
      <c r="BY12" s="348">
        <v>0.6</v>
      </c>
    </row>
    <row r="13" spans="2:77" x14ac:dyDescent="0.3">
      <c r="B13" s="342" t="s">
        <v>759</v>
      </c>
      <c r="C13" s="343" t="s">
        <v>532</v>
      </c>
      <c r="E13" s="56" t="s">
        <v>573</v>
      </c>
      <c r="G13" s="56" t="s">
        <v>570</v>
      </c>
      <c r="I13" s="56" t="s">
        <v>490</v>
      </c>
      <c r="K13" s="350" t="s">
        <v>110</v>
      </c>
      <c r="L13" s="412" t="s">
        <v>1087</v>
      </c>
      <c r="N13" s="56" t="s">
        <v>651</v>
      </c>
      <c r="P13" s="56" t="s">
        <v>702</v>
      </c>
      <c r="S13" s="196" t="s">
        <v>753</v>
      </c>
      <c r="T13" s="332">
        <v>3</v>
      </c>
      <c r="V13" s="166" t="s">
        <v>560</v>
      </c>
      <c r="W13" s="333">
        <v>5</v>
      </c>
      <c r="AE13" s="166" t="s">
        <v>1212</v>
      </c>
      <c r="AF13" s="64" t="s">
        <v>25</v>
      </c>
      <c r="AH13" s="410" t="s">
        <v>787</v>
      </c>
      <c r="AI13" s="411" t="s">
        <v>788</v>
      </c>
      <c r="AJ13" s="484">
        <v>7</v>
      </c>
      <c r="AK13" s="335">
        <v>80000</v>
      </c>
      <c r="AM13" s="337" t="s">
        <v>199</v>
      </c>
      <c r="AN13" s="338" t="s">
        <v>22</v>
      </c>
      <c r="AP13" s="436" t="s">
        <v>498</v>
      </c>
      <c r="AQ13" s="425" t="s">
        <v>100</v>
      </c>
      <c r="AR13" s="415">
        <f>1/12000</f>
        <v>8.3333333333333331E-5</v>
      </c>
      <c r="AS13" s="436" t="s">
        <v>498</v>
      </c>
      <c r="AU13" s="416" t="s">
        <v>999</v>
      </c>
      <c r="AV13" s="339">
        <v>0</v>
      </c>
      <c r="BI13" s="420">
        <v>1</v>
      </c>
      <c r="BJ13" s="367" t="s">
        <v>172</v>
      </c>
      <c r="BL13" s="438"/>
      <c r="BP13" s="423">
        <v>45</v>
      </c>
      <c r="BQ13" s="347">
        <v>0.35</v>
      </c>
      <c r="BR13" s="347">
        <v>0.40000000000000102</v>
      </c>
      <c r="BS13" s="347">
        <v>0.45</v>
      </c>
      <c r="BT13" s="347">
        <v>0.47</v>
      </c>
      <c r="BU13" s="347">
        <v>0.51000000000000101</v>
      </c>
      <c r="BV13" s="347">
        <v>0.49000000000000099</v>
      </c>
      <c r="BW13" s="347">
        <v>0.53000000000000103</v>
      </c>
      <c r="BX13" s="347">
        <v>0.55000000000000004</v>
      </c>
      <c r="BY13" s="348">
        <v>0.55000000000000004</v>
      </c>
    </row>
    <row r="14" spans="2:77" ht="16.2" thickBot="1" x14ac:dyDescent="0.35">
      <c r="B14" s="364" t="s">
        <v>583</v>
      </c>
      <c r="C14" s="365" t="s">
        <v>584</v>
      </c>
      <c r="E14" s="56" t="s">
        <v>586</v>
      </c>
      <c r="G14" s="56" t="s">
        <v>1210</v>
      </c>
      <c r="I14" s="56" t="s">
        <v>491</v>
      </c>
      <c r="K14" s="350" t="s">
        <v>109</v>
      </c>
      <c r="L14" s="412" t="s">
        <v>1087</v>
      </c>
      <c r="N14" s="56" t="s">
        <v>678</v>
      </c>
      <c r="P14" s="56" t="s">
        <v>703</v>
      </c>
      <c r="S14" s="196" t="s">
        <v>754</v>
      </c>
      <c r="T14" s="332">
        <v>6</v>
      </c>
      <c r="V14" s="166" t="s">
        <v>476</v>
      </c>
      <c r="W14" s="333">
        <v>5</v>
      </c>
      <c r="AE14" s="166" t="s">
        <v>1213</v>
      </c>
      <c r="AF14" s="64" t="s">
        <v>513</v>
      </c>
      <c r="AH14" s="410" t="s">
        <v>789</v>
      </c>
      <c r="AI14" s="411" t="s">
        <v>790</v>
      </c>
      <c r="AJ14" s="484">
        <v>2</v>
      </c>
      <c r="AK14" s="335">
        <v>116333.83175499807</v>
      </c>
      <c r="AM14" s="337" t="s">
        <v>200</v>
      </c>
      <c r="AN14" s="338" t="s">
        <v>498</v>
      </c>
      <c r="AP14" s="439" t="s">
        <v>334</v>
      </c>
      <c r="AQ14" s="425" t="s">
        <v>85</v>
      </c>
      <c r="AR14" s="415">
        <f>1/20000</f>
        <v>5.0000000000000002E-5</v>
      </c>
      <c r="AS14" s="439" t="s">
        <v>334</v>
      </c>
      <c r="AU14" s="426" t="s">
        <v>1029</v>
      </c>
      <c r="AV14" s="333">
        <v>5</v>
      </c>
      <c r="BI14" s="420">
        <v>2</v>
      </c>
      <c r="BJ14" s="367" t="s">
        <v>173</v>
      </c>
      <c r="BL14" s="438"/>
      <c r="BP14" s="423">
        <v>50</v>
      </c>
      <c r="BQ14" s="347">
        <v>0.3</v>
      </c>
      <c r="BR14" s="347">
        <v>0.35000000000000098</v>
      </c>
      <c r="BS14" s="347">
        <v>0.4</v>
      </c>
      <c r="BT14" s="347">
        <v>0.42</v>
      </c>
      <c r="BU14" s="347">
        <v>0.46000000000000102</v>
      </c>
      <c r="BV14" s="347">
        <v>0.440000000000001</v>
      </c>
      <c r="BW14" s="347">
        <v>0.48000000000000098</v>
      </c>
      <c r="BX14" s="347">
        <v>0.5</v>
      </c>
      <c r="BY14" s="348">
        <v>0.5</v>
      </c>
    </row>
    <row r="15" spans="2:77" ht="16.2" thickBot="1" x14ac:dyDescent="0.35">
      <c r="D15" s="3" t="s">
        <v>1039</v>
      </c>
      <c r="E15" s="69" t="s">
        <v>119</v>
      </c>
      <c r="G15" s="69" t="s">
        <v>119</v>
      </c>
      <c r="I15" s="56" t="s">
        <v>492</v>
      </c>
      <c r="K15" s="350" t="s">
        <v>107</v>
      </c>
      <c r="L15" s="412" t="s">
        <v>1087</v>
      </c>
      <c r="N15" s="56" t="s">
        <v>672</v>
      </c>
      <c r="P15" s="56" t="s">
        <v>704</v>
      </c>
      <c r="S15" s="196" t="s">
        <v>755</v>
      </c>
      <c r="T15" s="332">
        <v>9</v>
      </c>
      <c r="V15" s="166" t="s">
        <v>528</v>
      </c>
      <c r="W15" s="333">
        <v>3</v>
      </c>
      <c r="AE15" s="166" t="s">
        <v>1214</v>
      </c>
      <c r="AF15" s="64" t="s">
        <v>5</v>
      </c>
      <c r="AH15" s="410" t="s">
        <v>791</v>
      </c>
      <c r="AI15" s="411" t="s">
        <v>792</v>
      </c>
      <c r="AJ15" s="484">
        <v>5</v>
      </c>
      <c r="AK15" s="335">
        <v>100397.6297280833</v>
      </c>
      <c r="AM15" s="337" t="s">
        <v>201</v>
      </c>
      <c r="AN15" s="338" t="s">
        <v>502</v>
      </c>
      <c r="AP15" s="439" t="s">
        <v>500</v>
      </c>
      <c r="AQ15" s="425" t="s">
        <v>85</v>
      </c>
      <c r="AR15" s="415">
        <f>1/80000</f>
        <v>1.2500000000000001E-5</v>
      </c>
      <c r="AS15" s="439" t="s">
        <v>500</v>
      </c>
      <c r="AU15" s="426" t="s">
        <v>1002</v>
      </c>
      <c r="AV15" s="333">
        <v>10</v>
      </c>
      <c r="BI15" s="420">
        <v>3</v>
      </c>
      <c r="BJ15" s="367" t="s">
        <v>765</v>
      </c>
      <c r="BL15" s="438"/>
      <c r="BP15" s="423">
        <v>55</v>
      </c>
      <c r="BQ15" s="347">
        <v>0.25</v>
      </c>
      <c r="BR15" s="347">
        <v>0.30000000000000099</v>
      </c>
      <c r="BS15" s="347">
        <v>0.35</v>
      </c>
      <c r="BT15" s="347">
        <v>0.37</v>
      </c>
      <c r="BU15" s="347">
        <v>0.41000000000000097</v>
      </c>
      <c r="BV15" s="347">
        <v>0.39000000000000101</v>
      </c>
      <c r="BW15" s="347">
        <v>0.43000000000000099</v>
      </c>
      <c r="BX15" s="347">
        <v>0.45</v>
      </c>
      <c r="BY15" s="348">
        <v>0.45</v>
      </c>
    </row>
    <row r="16" spans="2:77" ht="16.2" thickBot="1" x14ac:dyDescent="0.35">
      <c r="B16" s="402"/>
      <c r="C16" s="359" t="s">
        <v>1690</v>
      </c>
      <c r="D16" s="3" t="s">
        <v>1039</v>
      </c>
      <c r="I16" s="56" t="s">
        <v>485</v>
      </c>
      <c r="K16" s="366" t="s">
        <v>1215</v>
      </c>
      <c r="L16" s="412" t="s">
        <v>1087</v>
      </c>
      <c r="N16" s="56" t="s">
        <v>665</v>
      </c>
      <c r="P16" s="482" t="s">
        <v>483</v>
      </c>
      <c r="S16" s="356" t="s">
        <v>756</v>
      </c>
      <c r="T16" s="357">
        <v>12</v>
      </c>
      <c r="V16" s="166" t="s">
        <v>462</v>
      </c>
      <c r="W16" s="333">
        <v>5</v>
      </c>
      <c r="AE16" s="88" t="s">
        <v>1216</v>
      </c>
      <c r="AF16" s="89" t="s">
        <v>514</v>
      </c>
      <c r="AH16" s="410" t="s">
        <v>793</v>
      </c>
      <c r="AI16" s="411" t="s">
        <v>794</v>
      </c>
      <c r="AJ16" s="484">
        <v>3</v>
      </c>
      <c r="AK16" s="335">
        <v>143988.48092152626</v>
      </c>
      <c r="AM16" s="337" t="s">
        <v>202</v>
      </c>
      <c r="AN16" s="338" t="s">
        <v>24</v>
      </c>
      <c r="AP16" s="439" t="s">
        <v>503</v>
      </c>
      <c r="AQ16" s="425" t="s">
        <v>85</v>
      </c>
      <c r="AR16" s="415">
        <f>1/120000</f>
        <v>8.3333333333333337E-6</v>
      </c>
      <c r="AS16" s="439" t="s">
        <v>503</v>
      </c>
      <c r="AU16" s="426" t="s">
        <v>1001</v>
      </c>
      <c r="AV16" s="333">
        <v>10</v>
      </c>
      <c r="BI16" s="420">
        <v>4</v>
      </c>
      <c r="BJ16" s="367" t="s">
        <v>1017</v>
      </c>
      <c r="BP16" s="423">
        <v>60</v>
      </c>
      <c r="BQ16" s="347">
        <v>0.19999999999999901</v>
      </c>
      <c r="BR16" s="347">
        <v>0.250000000000001</v>
      </c>
      <c r="BS16" s="347">
        <v>0.29999999999999899</v>
      </c>
      <c r="BT16" s="347">
        <v>0.31999999999999901</v>
      </c>
      <c r="BU16" s="347">
        <v>0.36000000000000099</v>
      </c>
      <c r="BV16" s="347">
        <v>0.34000000000000102</v>
      </c>
      <c r="BW16" s="347">
        <v>0.380000000000001</v>
      </c>
      <c r="BX16" s="347">
        <v>0.39999999999999902</v>
      </c>
      <c r="BY16" s="348">
        <v>0.39999999999999902</v>
      </c>
    </row>
    <row r="17" spans="2:77" ht="16.5" customHeight="1" thickBot="1" x14ac:dyDescent="0.35">
      <c r="B17" s="342">
        <v>1</v>
      </c>
      <c r="C17" s="367" t="s">
        <v>1684</v>
      </c>
      <c r="D17" s="3" t="s">
        <v>1039</v>
      </c>
      <c r="E17" s="324" t="s">
        <v>533</v>
      </c>
      <c r="I17" s="56" t="s">
        <v>631</v>
      </c>
      <c r="K17" s="366" t="s">
        <v>1217</v>
      </c>
      <c r="L17" s="412" t="s">
        <v>1087</v>
      </c>
      <c r="N17" s="56" t="s">
        <v>679</v>
      </c>
      <c r="P17" s="482" t="s">
        <v>483</v>
      </c>
      <c r="V17" s="166" t="s">
        <v>525</v>
      </c>
      <c r="W17" s="333">
        <v>6</v>
      </c>
      <c r="AH17" s="410" t="s">
        <v>795</v>
      </c>
      <c r="AI17" s="411" t="s">
        <v>796</v>
      </c>
      <c r="AJ17" s="484">
        <v>3</v>
      </c>
      <c r="AK17" s="335">
        <v>114889.51653098522</v>
      </c>
      <c r="AM17" s="337" t="s">
        <v>203</v>
      </c>
      <c r="AN17" s="338" t="s">
        <v>332</v>
      </c>
      <c r="AP17" s="439" t="s">
        <v>502</v>
      </c>
      <c r="AQ17" s="425" t="s">
        <v>85</v>
      </c>
      <c r="AR17" s="415">
        <f>1/130000</f>
        <v>7.6923076923076919E-6</v>
      </c>
      <c r="AS17" s="439" t="s">
        <v>502</v>
      </c>
      <c r="AU17" s="426" t="s">
        <v>1000</v>
      </c>
      <c r="AV17" s="333">
        <v>10</v>
      </c>
      <c r="BI17" s="420">
        <v>5</v>
      </c>
      <c r="BJ17" s="367" t="s">
        <v>1018</v>
      </c>
      <c r="BP17" s="423">
        <v>65</v>
      </c>
      <c r="BQ17" s="347">
        <v>0.149999999999999</v>
      </c>
      <c r="BR17" s="347">
        <v>0.20000000000000101</v>
      </c>
      <c r="BS17" s="347">
        <v>0.249999999999999</v>
      </c>
      <c r="BT17" s="347">
        <v>0.26999999999999902</v>
      </c>
      <c r="BU17" s="347">
        <v>0.310000000000001</v>
      </c>
      <c r="BV17" s="347">
        <v>0.29000000000000098</v>
      </c>
      <c r="BW17" s="347">
        <v>0.33000000000000101</v>
      </c>
      <c r="BX17" s="347">
        <v>0.34999999999999898</v>
      </c>
      <c r="BY17" s="348">
        <v>0.34999999999999898</v>
      </c>
    </row>
    <row r="18" spans="2:77" ht="16.2" thickBot="1" x14ac:dyDescent="0.35">
      <c r="B18" s="342">
        <v>2</v>
      </c>
      <c r="C18" s="367" t="s">
        <v>1685</v>
      </c>
      <c r="D18" s="3" t="s">
        <v>1039</v>
      </c>
      <c r="E18" s="368"/>
      <c r="G18" s="324" t="s">
        <v>534</v>
      </c>
      <c r="I18" s="56" t="s">
        <v>630</v>
      </c>
      <c r="K18" s="350" t="s">
        <v>106</v>
      </c>
      <c r="L18" s="412" t="s">
        <v>1088</v>
      </c>
      <c r="N18" s="56" t="s">
        <v>673</v>
      </c>
      <c r="P18" s="483" t="s">
        <v>483</v>
      </c>
      <c r="V18" s="166" t="s">
        <v>527</v>
      </c>
      <c r="W18" s="333">
        <v>8</v>
      </c>
      <c r="AH18" s="410" t="s">
        <v>797</v>
      </c>
      <c r="AI18" s="411" t="s">
        <v>798</v>
      </c>
      <c r="AJ18" s="484">
        <v>4</v>
      </c>
      <c r="AK18" s="335">
        <v>133426.37204408264</v>
      </c>
      <c r="AM18" s="337" t="s">
        <v>204</v>
      </c>
      <c r="AN18" s="338" t="s">
        <v>497</v>
      </c>
      <c r="AP18" s="440" t="s">
        <v>333</v>
      </c>
      <c r="AQ18" s="425" t="s">
        <v>1192</v>
      </c>
      <c r="AR18" s="415">
        <f>1/200000</f>
        <v>5.0000000000000004E-6</v>
      </c>
      <c r="AS18" s="440" t="s">
        <v>333</v>
      </c>
      <c r="AU18" s="426" t="s">
        <v>1003</v>
      </c>
      <c r="AV18" s="333">
        <v>20</v>
      </c>
      <c r="BI18" s="420">
        <v>6</v>
      </c>
      <c r="BJ18" s="367" t="s">
        <v>1019</v>
      </c>
      <c r="BM18" s="500" t="s">
        <v>1079</v>
      </c>
      <c r="BN18" s="500"/>
      <c r="BP18" s="423">
        <v>70</v>
      </c>
      <c r="BQ18" s="347">
        <v>9.9999999999999103E-2</v>
      </c>
      <c r="BR18" s="347">
        <v>0.15000000000000099</v>
      </c>
      <c r="BS18" s="347">
        <v>0.19999999999999901</v>
      </c>
      <c r="BT18" s="347">
        <v>0.219999999999999</v>
      </c>
      <c r="BU18" s="347">
        <v>0.26000000000000101</v>
      </c>
      <c r="BV18" s="347">
        <v>0.24000000000000099</v>
      </c>
      <c r="BW18" s="347">
        <v>0.28000000000000103</v>
      </c>
      <c r="BX18" s="347">
        <v>0.29999999999999899</v>
      </c>
      <c r="BY18" s="348">
        <v>0.29999999999999899</v>
      </c>
    </row>
    <row r="19" spans="2:77" ht="16.5" customHeight="1" thickBot="1" x14ac:dyDescent="0.35">
      <c r="B19" s="342">
        <v>3</v>
      </c>
      <c r="C19" s="367" t="s">
        <v>1691</v>
      </c>
      <c r="D19" s="3" t="s">
        <v>1039</v>
      </c>
      <c r="E19" s="369" t="s">
        <v>536</v>
      </c>
      <c r="G19" s="370"/>
      <c r="I19" s="56" t="s">
        <v>629</v>
      </c>
      <c r="K19" s="350" t="s">
        <v>105</v>
      </c>
      <c r="L19" s="412" t="s">
        <v>1089</v>
      </c>
      <c r="N19" s="56" t="s">
        <v>680</v>
      </c>
      <c r="S19" s="493" t="s">
        <v>1045</v>
      </c>
      <c r="T19" s="494"/>
      <c r="V19" s="166" t="s">
        <v>558</v>
      </c>
      <c r="W19" s="333">
        <v>4</v>
      </c>
      <c r="AH19" s="410" t="s">
        <v>799</v>
      </c>
      <c r="AI19" s="411" t="s">
        <v>800</v>
      </c>
      <c r="AJ19" s="484">
        <v>2</v>
      </c>
      <c r="AK19" s="335">
        <v>125628.84200033228</v>
      </c>
      <c r="AM19" s="337" t="s">
        <v>205</v>
      </c>
      <c r="AN19" s="338" t="s">
        <v>22</v>
      </c>
      <c r="AP19" s="440" t="s">
        <v>499</v>
      </c>
      <c r="AQ19" s="425" t="s">
        <v>1192</v>
      </c>
      <c r="AR19" s="415">
        <f>1/800000</f>
        <v>1.2500000000000001E-6</v>
      </c>
      <c r="AS19" s="440" t="s">
        <v>499</v>
      </c>
      <c r="AU19" s="426" t="s">
        <v>1004</v>
      </c>
      <c r="AV19" s="333">
        <v>20</v>
      </c>
      <c r="BI19" s="431">
        <v>7</v>
      </c>
      <c r="BJ19" s="375" t="s">
        <v>1020</v>
      </c>
      <c r="BM19" s="441" t="s">
        <v>1080</v>
      </c>
      <c r="BN19" s="442">
        <v>0.55000000000000004</v>
      </c>
      <c r="BP19" s="423">
        <v>75</v>
      </c>
      <c r="BQ19" s="347">
        <v>4.9999999999998997E-2</v>
      </c>
      <c r="BR19" s="347">
        <v>0.100000000000001</v>
      </c>
      <c r="BS19" s="347">
        <v>0.149999999999999</v>
      </c>
      <c r="BT19" s="347">
        <v>0.16999999999999901</v>
      </c>
      <c r="BU19" s="347">
        <v>0.21000000000000099</v>
      </c>
      <c r="BV19" s="347">
        <v>0.190000000000001</v>
      </c>
      <c r="BW19" s="347">
        <v>0.23000000000000101</v>
      </c>
      <c r="BX19" s="347">
        <v>0.249999999999999</v>
      </c>
      <c r="BY19" s="348">
        <v>0.249999999999999</v>
      </c>
    </row>
    <row r="20" spans="2:77" x14ac:dyDescent="0.3">
      <c r="B20" s="342">
        <v>4</v>
      </c>
      <c r="C20" s="367" t="s">
        <v>1686</v>
      </c>
      <c r="D20" s="3" t="s">
        <v>1039</v>
      </c>
      <c r="E20" s="371" t="s">
        <v>1597</v>
      </c>
      <c r="G20" s="372" t="s">
        <v>736</v>
      </c>
      <c r="I20" s="56" t="s">
        <v>647</v>
      </c>
      <c r="K20" s="350" t="s">
        <v>104</v>
      </c>
      <c r="L20" s="412" t="s">
        <v>1090</v>
      </c>
      <c r="N20" s="56" t="s">
        <v>681</v>
      </c>
      <c r="S20" s="373" t="s">
        <v>723</v>
      </c>
      <c r="T20" s="443"/>
      <c r="V20" s="166" t="s">
        <v>522</v>
      </c>
      <c r="W20" s="333">
        <v>6</v>
      </c>
      <c r="AH20" s="410" t="s">
        <v>801</v>
      </c>
      <c r="AI20" s="411" t="s">
        <v>802</v>
      </c>
      <c r="AJ20" s="484">
        <v>3</v>
      </c>
      <c r="AK20" s="335">
        <v>125052.88807664618</v>
      </c>
      <c r="AM20" s="337" t="s">
        <v>206</v>
      </c>
      <c r="AN20" s="338" t="s">
        <v>498</v>
      </c>
      <c r="AP20" s="440" t="s">
        <v>24</v>
      </c>
      <c r="AQ20" s="425" t="s">
        <v>1192</v>
      </c>
      <c r="AR20" s="415">
        <f>1/1000000</f>
        <v>9.9999999999999995E-7</v>
      </c>
      <c r="AS20" s="440" t="s">
        <v>24</v>
      </c>
      <c r="AU20" s="426" t="s">
        <v>1005</v>
      </c>
      <c r="AV20" s="333">
        <v>20</v>
      </c>
      <c r="BM20" s="444" t="s">
        <v>1175</v>
      </c>
      <c r="BN20" s="445">
        <v>1</v>
      </c>
      <c r="BP20" s="423">
        <v>80</v>
      </c>
      <c r="BQ20" s="347">
        <v>-9.9920072216264108E-16</v>
      </c>
      <c r="BR20" s="347">
        <v>5.0000000000000898E-2</v>
      </c>
      <c r="BS20" s="347">
        <v>9.9999999999999006E-2</v>
      </c>
      <c r="BT20" s="347">
        <v>0.119999999999999</v>
      </c>
      <c r="BU20" s="347">
        <v>0.160000000000001</v>
      </c>
      <c r="BV20" s="347">
        <v>0.14000000000000101</v>
      </c>
      <c r="BW20" s="347">
        <v>0.18000000000000099</v>
      </c>
      <c r="BX20" s="347">
        <v>0.19999999999999901</v>
      </c>
      <c r="BY20" s="348">
        <v>0.19999999999999901</v>
      </c>
    </row>
    <row r="21" spans="2:77" ht="16.5" customHeight="1" thickBot="1" x14ac:dyDescent="0.35">
      <c r="B21" s="342">
        <v>5</v>
      </c>
      <c r="C21" s="367" t="s">
        <v>1687</v>
      </c>
      <c r="D21" s="3" t="s">
        <v>1039</v>
      </c>
      <c r="E21" s="371" t="s">
        <v>116</v>
      </c>
      <c r="G21" s="372" t="s">
        <v>985</v>
      </c>
      <c r="I21" s="56" t="s">
        <v>632</v>
      </c>
      <c r="K21" s="350" t="s">
        <v>103</v>
      </c>
      <c r="L21" s="412" t="s">
        <v>1091</v>
      </c>
      <c r="N21" s="56" t="s">
        <v>652</v>
      </c>
      <c r="S21" s="373" t="s">
        <v>724</v>
      </c>
      <c r="T21" s="443"/>
      <c r="V21" s="166" t="s">
        <v>557</v>
      </c>
      <c r="W21" s="333">
        <v>5</v>
      </c>
      <c r="AH21" s="410" t="s">
        <v>803</v>
      </c>
      <c r="AI21" s="411" t="s">
        <v>804</v>
      </c>
      <c r="AJ21" s="484">
        <v>7</v>
      </c>
      <c r="AK21" s="335">
        <v>96955.197430359418</v>
      </c>
      <c r="AM21" s="337" t="s">
        <v>207</v>
      </c>
      <c r="AN21" s="338" t="s">
        <v>503</v>
      </c>
      <c r="AP21" s="446" t="s">
        <v>332</v>
      </c>
      <c r="AQ21" s="447" t="s">
        <v>588</v>
      </c>
      <c r="AR21" s="415">
        <f>1/100000000000</f>
        <v>9.9999999999999994E-12</v>
      </c>
      <c r="AS21" s="446" t="s">
        <v>332</v>
      </c>
      <c r="AU21" s="426" t="s">
        <v>1006</v>
      </c>
      <c r="AV21" s="333">
        <v>20</v>
      </c>
      <c r="BM21" s="444" t="s">
        <v>1176</v>
      </c>
      <c r="BN21" s="445">
        <v>5</v>
      </c>
      <c r="BP21" s="423">
        <v>85</v>
      </c>
      <c r="BQ21" s="347">
        <v>-9.9920072216264108E-16</v>
      </c>
      <c r="BR21" s="347">
        <v>9.9920072216264108E-16</v>
      </c>
      <c r="BS21" s="347">
        <v>4.9999999999998997E-2</v>
      </c>
      <c r="BT21" s="347">
        <v>6.9999999999999105E-2</v>
      </c>
      <c r="BU21" s="347">
        <v>0.110000000000001</v>
      </c>
      <c r="BV21" s="347">
        <v>9.0000000000000996E-2</v>
      </c>
      <c r="BW21" s="347">
        <v>0.130000000000001</v>
      </c>
      <c r="BX21" s="347">
        <v>0.149999999999999</v>
      </c>
      <c r="BY21" s="348">
        <v>0.149999999999999</v>
      </c>
    </row>
    <row r="22" spans="2:77" ht="16.2" thickBot="1" x14ac:dyDescent="0.35">
      <c r="B22" s="342">
        <v>6</v>
      </c>
      <c r="C22" s="367" t="s">
        <v>1688</v>
      </c>
      <c r="D22" s="3" t="s">
        <v>1039</v>
      </c>
      <c r="E22" s="371" t="s">
        <v>537</v>
      </c>
      <c r="G22" s="372" t="s">
        <v>738</v>
      </c>
      <c r="I22" s="56" t="s">
        <v>649</v>
      </c>
      <c r="K22" s="350" t="s">
        <v>102</v>
      </c>
      <c r="L22" s="412" t="s">
        <v>1092</v>
      </c>
      <c r="N22" s="56" t="s">
        <v>653</v>
      </c>
      <c r="S22" s="373" t="s">
        <v>725</v>
      </c>
      <c r="T22" s="443"/>
      <c r="V22" s="374" t="s">
        <v>561</v>
      </c>
      <c r="W22" s="333">
        <v>8</v>
      </c>
      <c r="AH22" s="410" t="s">
        <v>805</v>
      </c>
      <c r="AI22" s="411" t="s">
        <v>806</v>
      </c>
      <c r="AJ22" s="484">
        <v>7</v>
      </c>
      <c r="AK22" s="335">
        <v>122939.58021819792</v>
      </c>
      <c r="AM22" s="337" t="s">
        <v>208</v>
      </c>
      <c r="AN22" s="338" t="s">
        <v>24</v>
      </c>
      <c r="AU22" s="426" t="s">
        <v>1219</v>
      </c>
      <c r="AV22" s="333">
        <v>30</v>
      </c>
      <c r="BM22" s="448" t="s">
        <v>1177</v>
      </c>
      <c r="BN22" s="449">
        <v>10</v>
      </c>
      <c r="BP22" s="423">
        <v>90</v>
      </c>
      <c r="BQ22" s="347">
        <v>-9.9920072216264108E-16</v>
      </c>
      <c r="BR22" s="347">
        <v>9.9920072216264108E-16</v>
      </c>
      <c r="BS22" s="347">
        <v>0</v>
      </c>
      <c r="BT22" s="347">
        <v>1.9999999999999001E-2</v>
      </c>
      <c r="BU22" s="347">
        <v>6.00000000000009E-2</v>
      </c>
      <c r="BV22" s="347">
        <v>4.0000000000000903E-2</v>
      </c>
      <c r="BW22" s="347">
        <v>8.0000000000001001E-2</v>
      </c>
      <c r="BX22" s="347">
        <v>9.9999999999999006E-2</v>
      </c>
      <c r="BY22" s="348">
        <v>9.9999999999999006E-2</v>
      </c>
    </row>
    <row r="23" spans="2:77" ht="16.5" customHeight="1" thickBot="1" x14ac:dyDescent="0.35">
      <c r="B23" s="364">
        <v>7</v>
      </c>
      <c r="C23" s="375" t="s">
        <v>1689</v>
      </c>
      <c r="D23" s="3" t="s">
        <v>1039</v>
      </c>
      <c r="E23" s="371" t="s">
        <v>1220</v>
      </c>
      <c r="G23" s="372" t="s">
        <v>986</v>
      </c>
      <c r="I23" s="56" t="s">
        <v>493</v>
      </c>
      <c r="K23" s="350" t="s">
        <v>1218</v>
      </c>
      <c r="L23" s="412" t="s">
        <v>1092</v>
      </c>
      <c r="N23" s="56" t="s">
        <v>654</v>
      </c>
      <c r="S23" s="373" t="s">
        <v>727</v>
      </c>
      <c r="T23" s="443"/>
      <c r="V23" s="166" t="s">
        <v>526</v>
      </c>
      <c r="W23" s="333">
        <v>6</v>
      </c>
      <c r="AH23" s="410" t="s">
        <v>807</v>
      </c>
      <c r="AI23" s="411" t="s">
        <v>808</v>
      </c>
      <c r="AJ23" s="484">
        <v>7</v>
      </c>
      <c r="AK23" s="335">
        <v>95967.214930497867</v>
      </c>
      <c r="AM23" s="337" t="s">
        <v>209</v>
      </c>
      <c r="AN23" s="338" t="s">
        <v>332</v>
      </c>
      <c r="AP23" s="491" t="s">
        <v>1668</v>
      </c>
      <c r="AQ23" s="496"/>
      <c r="AR23" s="415">
        <f>1/100000000000</f>
        <v>9.9999999999999994E-12</v>
      </c>
      <c r="AS23" s="446" t="s">
        <v>332</v>
      </c>
      <c r="AU23" s="426" t="s">
        <v>1007</v>
      </c>
      <c r="AV23" s="333">
        <v>30</v>
      </c>
      <c r="BP23" s="423">
        <v>95</v>
      </c>
      <c r="BQ23" s="347">
        <v>-9.9920072216264108E-16</v>
      </c>
      <c r="BR23" s="347">
        <v>9.9920072216264108E-16</v>
      </c>
      <c r="BS23" s="347">
        <v>0</v>
      </c>
      <c r="BT23" s="347">
        <v>0</v>
      </c>
      <c r="BU23" s="347">
        <v>1.0000000000000999E-2</v>
      </c>
      <c r="BV23" s="347">
        <v>9.9920072216264108E-16</v>
      </c>
      <c r="BW23" s="347">
        <v>3.0000000000001002E-2</v>
      </c>
      <c r="BX23" s="347">
        <v>4.9999999999998997E-2</v>
      </c>
      <c r="BY23" s="348">
        <v>4.9999999999998997E-2</v>
      </c>
    </row>
    <row r="24" spans="2:77" ht="16.2" thickBot="1" x14ac:dyDescent="0.35">
      <c r="B24" s="94"/>
      <c r="C24" s="133"/>
      <c r="D24" s="3" t="s">
        <v>1039</v>
      </c>
      <c r="E24" s="371" t="s">
        <v>747</v>
      </c>
      <c r="G24" s="372" t="s">
        <v>739</v>
      </c>
      <c r="I24" s="482" t="s">
        <v>483</v>
      </c>
      <c r="K24" s="350" t="s">
        <v>98</v>
      </c>
      <c r="L24" s="412" t="s">
        <v>1092</v>
      </c>
      <c r="N24" s="56" t="s">
        <v>655</v>
      </c>
      <c r="S24" s="373" t="s">
        <v>726</v>
      </c>
      <c r="T24" s="443"/>
      <c r="V24" s="166" t="s">
        <v>523</v>
      </c>
      <c r="W24" s="333">
        <v>8</v>
      </c>
      <c r="AH24" s="410" t="s">
        <v>809</v>
      </c>
      <c r="AI24" s="411" t="s">
        <v>810</v>
      </c>
      <c r="AJ24" s="484">
        <v>4</v>
      </c>
      <c r="AK24" s="335">
        <v>105328.68139779587</v>
      </c>
      <c r="AM24" s="337" t="s">
        <v>210</v>
      </c>
      <c r="AN24" s="338" t="s">
        <v>332</v>
      </c>
      <c r="AP24" s="450" t="s">
        <v>495</v>
      </c>
      <c r="AQ24" s="425" t="s">
        <v>1676</v>
      </c>
      <c r="AR24" s="415">
        <v>9.9999999999999995E-7</v>
      </c>
      <c r="AS24" s="451" t="s">
        <v>24</v>
      </c>
      <c r="AU24" s="426" t="s">
        <v>1008</v>
      </c>
      <c r="AV24" s="333">
        <v>30</v>
      </c>
      <c r="BP24" s="452">
        <v>100</v>
      </c>
      <c r="BQ24" s="376">
        <v>-9.9920072216264108E-16</v>
      </c>
      <c r="BR24" s="376">
        <v>9.9920072216264108E-16</v>
      </c>
      <c r="BS24" s="376">
        <v>0</v>
      </c>
      <c r="BT24" s="376">
        <v>0</v>
      </c>
      <c r="BU24" s="376">
        <v>0</v>
      </c>
      <c r="BV24" s="376">
        <v>9.9920072216264108E-16</v>
      </c>
      <c r="BW24" s="376">
        <v>9.9920072216264108E-16</v>
      </c>
      <c r="BX24" s="376">
        <v>0</v>
      </c>
      <c r="BY24" s="377">
        <v>0</v>
      </c>
    </row>
    <row r="25" spans="2:77" ht="16.5" customHeight="1" thickBot="1" x14ac:dyDescent="0.35">
      <c r="D25" s="3" t="s">
        <v>1039</v>
      </c>
      <c r="E25" s="371" t="s">
        <v>751</v>
      </c>
      <c r="G25" s="372" t="s">
        <v>984</v>
      </c>
      <c r="I25" s="482" t="s">
        <v>483</v>
      </c>
      <c r="K25" s="350" t="s">
        <v>96</v>
      </c>
      <c r="L25" s="412" t="s">
        <v>1092</v>
      </c>
      <c r="N25" s="56" t="s">
        <v>682</v>
      </c>
      <c r="S25" s="373" t="s">
        <v>728</v>
      </c>
      <c r="T25" s="443"/>
      <c r="V25" s="166" t="s">
        <v>519</v>
      </c>
      <c r="W25" s="333">
        <v>10</v>
      </c>
      <c r="AH25" s="410" t="s">
        <v>811</v>
      </c>
      <c r="AI25" s="411" t="s">
        <v>812</v>
      </c>
      <c r="AJ25" s="484">
        <v>7</v>
      </c>
      <c r="AK25" s="335">
        <v>94226.061915046797</v>
      </c>
      <c r="AM25" s="337" t="s">
        <v>211</v>
      </c>
      <c r="AN25" s="338" t="s">
        <v>335</v>
      </c>
      <c r="AP25" s="453" t="s">
        <v>496</v>
      </c>
      <c r="AQ25" s="425" t="s">
        <v>1676</v>
      </c>
      <c r="AR25" s="415">
        <v>1.2500000000000001E-6</v>
      </c>
      <c r="AS25" s="440" t="s">
        <v>499</v>
      </c>
      <c r="AU25" s="430" t="s">
        <v>1222</v>
      </c>
      <c r="AV25" s="354">
        <v>35</v>
      </c>
    </row>
    <row r="26" spans="2:77" ht="16.2" thickBot="1" x14ac:dyDescent="0.35">
      <c r="C26" s="324" t="s">
        <v>535</v>
      </c>
      <c r="D26" s="3" t="s">
        <v>1039</v>
      </c>
      <c r="E26" s="371" t="s">
        <v>748</v>
      </c>
      <c r="G26" s="372" t="s">
        <v>742</v>
      </c>
      <c r="I26" s="483" t="s">
        <v>483</v>
      </c>
      <c r="K26" s="350" t="s">
        <v>1221</v>
      </c>
      <c r="L26" s="412" t="s">
        <v>1093</v>
      </c>
      <c r="N26" s="56" t="s">
        <v>666</v>
      </c>
      <c r="S26" s="373" t="s">
        <v>729</v>
      </c>
      <c r="T26" s="443"/>
      <c r="V26" s="166" t="s">
        <v>524</v>
      </c>
      <c r="W26" s="333">
        <v>12</v>
      </c>
      <c r="AH26" s="410" t="s">
        <v>813</v>
      </c>
      <c r="AI26" s="411" t="s">
        <v>814</v>
      </c>
      <c r="AJ26" s="484">
        <v>6</v>
      </c>
      <c r="AK26" s="335">
        <v>120245.888021266</v>
      </c>
      <c r="AM26" s="337" t="s">
        <v>212</v>
      </c>
      <c r="AN26" s="338" t="s">
        <v>498</v>
      </c>
      <c r="AP26" s="454" t="s">
        <v>4</v>
      </c>
      <c r="AQ26" s="425" t="s">
        <v>1676</v>
      </c>
      <c r="AR26" s="415">
        <v>5.0000000000000004E-6</v>
      </c>
      <c r="AS26" s="440" t="s">
        <v>333</v>
      </c>
      <c r="AU26" s="434"/>
    </row>
    <row r="27" spans="2:77" ht="16.2" thickBot="1" x14ac:dyDescent="0.35">
      <c r="C27" s="378"/>
      <c r="D27" s="3" t="s">
        <v>1039</v>
      </c>
      <c r="E27" s="371" t="s">
        <v>749</v>
      </c>
      <c r="G27" s="372" t="s">
        <v>740</v>
      </c>
      <c r="K27" s="350" t="s">
        <v>1223</v>
      </c>
      <c r="L27" s="412" t="s">
        <v>1093</v>
      </c>
      <c r="N27" s="56" t="s">
        <v>656</v>
      </c>
      <c r="S27" s="373" t="s">
        <v>730</v>
      </c>
      <c r="T27" s="443"/>
      <c r="V27" s="88" t="s">
        <v>529</v>
      </c>
      <c r="W27" s="354">
        <v>14</v>
      </c>
      <c r="AH27" s="410" t="s">
        <v>815</v>
      </c>
      <c r="AI27" s="411" t="s">
        <v>816</v>
      </c>
      <c r="AJ27" s="484">
        <v>7</v>
      </c>
      <c r="AK27" s="335">
        <v>98563.438001882925</v>
      </c>
      <c r="AM27" s="337" t="s">
        <v>213</v>
      </c>
      <c r="AN27" s="338" t="s">
        <v>503</v>
      </c>
      <c r="AP27" s="454" t="s">
        <v>497</v>
      </c>
      <c r="AQ27" s="425" t="s">
        <v>1676</v>
      </c>
      <c r="AR27" s="415">
        <v>7.6923076923076919E-6</v>
      </c>
      <c r="AS27" s="439" t="s">
        <v>502</v>
      </c>
      <c r="AU27" s="491" t="s">
        <v>1048</v>
      </c>
      <c r="AV27" s="492"/>
    </row>
    <row r="28" spans="2:77" ht="16.2" thickBot="1" x14ac:dyDescent="0.35">
      <c r="C28" s="379" t="s">
        <v>736</v>
      </c>
      <c r="D28" s="3" t="s">
        <v>1039</v>
      </c>
      <c r="E28" s="371" t="s">
        <v>752</v>
      </c>
      <c r="G28" s="372" t="s">
        <v>743</v>
      </c>
      <c r="K28" s="350" t="s">
        <v>1224</v>
      </c>
      <c r="L28" s="412" t="s">
        <v>1093</v>
      </c>
      <c r="N28" s="56" t="s">
        <v>667</v>
      </c>
      <c r="S28" s="373" t="s">
        <v>731</v>
      </c>
      <c r="T28" s="443"/>
      <c r="AH28" s="410" t="s">
        <v>817</v>
      </c>
      <c r="AI28" s="411" t="s">
        <v>818</v>
      </c>
      <c r="AJ28" s="484">
        <v>5</v>
      </c>
      <c r="AK28" s="335">
        <v>104358.42055712466</v>
      </c>
      <c r="AM28" s="337" t="s">
        <v>214</v>
      </c>
      <c r="AN28" s="338" t="s">
        <v>24</v>
      </c>
      <c r="AP28" s="454" t="s">
        <v>504</v>
      </c>
      <c r="AQ28" s="425" t="s">
        <v>1676</v>
      </c>
      <c r="AR28" s="415">
        <v>8.3333333333333337E-6</v>
      </c>
      <c r="AS28" s="439" t="s">
        <v>503</v>
      </c>
      <c r="AU28" s="416" t="s">
        <v>1024</v>
      </c>
      <c r="AV28" s="339">
        <v>0</v>
      </c>
    </row>
    <row r="29" spans="2:77" ht="16.2" thickBot="1" x14ac:dyDescent="0.35">
      <c r="C29" s="379" t="s">
        <v>1084</v>
      </c>
      <c r="D29" s="3" t="s">
        <v>1039</v>
      </c>
      <c r="E29" s="371" t="s">
        <v>750</v>
      </c>
      <c r="G29" s="372" t="s">
        <v>741</v>
      </c>
      <c r="K29" s="350" t="s">
        <v>93</v>
      </c>
      <c r="L29" s="412" t="s">
        <v>1094</v>
      </c>
      <c r="N29" s="56" t="s">
        <v>668</v>
      </c>
      <c r="S29" s="373" t="s">
        <v>732</v>
      </c>
      <c r="T29" s="428"/>
      <c r="V29" s="493" t="s">
        <v>1046</v>
      </c>
      <c r="W29" s="494"/>
      <c r="AH29" s="410" t="s">
        <v>819</v>
      </c>
      <c r="AI29" s="411" t="s">
        <v>820</v>
      </c>
      <c r="AJ29" s="484">
        <v>6</v>
      </c>
      <c r="AK29" s="335">
        <v>103303.98183529933</v>
      </c>
      <c r="AM29" s="337" t="s">
        <v>215</v>
      </c>
      <c r="AN29" s="338" t="s">
        <v>332</v>
      </c>
      <c r="AP29" s="454" t="s">
        <v>22</v>
      </c>
      <c r="AQ29" s="425" t="s">
        <v>1676</v>
      </c>
      <c r="AR29" s="415">
        <v>1.2500000000000001E-5</v>
      </c>
      <c r="AS29" s="439" t="s">
        <v>500</v>
      </c>
      <c r="AU29" s="426" t="s">
        <v>1025</v>
      </c>
      <c r="AV29" s="333">
        <v>5</v>
      </c>
    </row>
    <row r="30" spans="2:77" x14ac:dyDescent="0.3">
      <c r="C30" s="380" t="s">
        <v>988</v>
      </c>
      <c r="D30" s="3" t="s">
        <v>1039</v>
      </c>
      <c r="E30" s="371" t="s">
        <v>580</v>
      </c>
      <c r="G30" s="372" t="s">
        <v>745</v>
      </c>
      <c r="K30" s="366" t="s">
        <v>1225</v>
      </c>
      <c r="L30" s="412" t="s">
        <v>1095</v>
      </c>
      <c r="N30" s="56" t="s">
        <v>683</v>
      </c>
      <c r="S30" s="373" t="s">
        <v>733</v>
      </c>
      <c r="T30" s="428"/>
      <c r="V30" s="166" t="s">
        <v>523</v>
      </c>
      <c r="W30" s="381"/>
      <c r="AH30" s="410" t="s">
        <v>821</v>
      </c>
      <c r="AI30" s="411" t="s">
        <v>822</v>
      </c>
      <c r="AJ30" s="484">
        <v>3</v>
      </c>
      <c r="AK30" s="335">
        <v>124383.89544221078</v>
      </c>
      <c r="AM30" s="337" t="s">
        <v>216</v>
      </c>
      <c r="AN30" s="338" t="s">
        <v>332</v>
      </c>
      <c r="AP30" s="455" t="s">
        <v>335</v>
      </c>
      <c r="AQ30" s="425" t="s">
        <v>1682</v>
      </c>
      <c r="AR30" s="415">
        <v>5.0000000000000002E-5</v>
      </c>
      <c r="AS30" s="439" t="s">
        <v>334</v>
      </c>
      <c r="AU30" s="426" t="s">
        <v>1026</v>
      </c>
      <c r="AV30" s="333">
        <v>10</v>
      </c>
    </row>
    <row r="31" spans="2:77" ht="16.2" thickBot="1" x14ac:dyDescent="0.35">
      <c r="C31" s="379" t="s">
        <v>987</v>
      </c>
      <c r="D31" s="3" t="s">
        <v>1039</v>
      </c>
      <c r="E31" s="371" t="s">
        <v>1226</v>
      </c>
      <c r="G31" s="372" t="s">
        <v>744</v>
      </c>
      <c r="K31" s="366" t="s">
        <v>1058</v>
      </c>
      <c r="L31" s="412" t="s">
        <v>1096</v>
      </c>
      <c r="N31" s="56" t="s">
        <v>669</v>
      </c>
      <c r="S31" s="382" t="s">
        <v>734</v>
      </c>
      <c r="T31" s="456"/>
      <c r="V31" s="166" t="s">
        <v>524</v>
      </c>
      <c r="W31" s="381"/>
      <c r="AH31" s="410" t="s">
        <v>823</v>
      </c>
      <c r="AI31" s="411" t="s">
        <v>824</v>
      </c>
      <c r="AJ31" s="484">
        <v>6</v>
      </c>
      <c r="AK31" s="335">
        <v>102781.19288918425</v>
      </c>
      <c r="AM31" s="337" t="s">
        <v>217</v>
      </c>
      <c r="AN31" s="338" t="s">
        <v>332</v>
      </c>
      <c r="AP31" s="455" t="s">
        <v>501</v>
      </c>
      <c r="AQ31" s="425" t="s">
        <v>1682</v>
      </c>
      <c r="AR31" s="415">
        <v>8.3333333333333331E-5</v>
      </c>
      <c r="AS31" s="436" t="s">
        <v>498</v>
      </c>
      <c r="AU31" s="426" t="s">
        <v>1027</v>
      </c>
      <c r="AV31" s="333">
        <v>20</v>
      </c>
    </row>
    <row r="32" spans="2:77" ht="16.2" thickBot="1" x14ac:dyDescent="0.35">
      <c r="C32" s="383" t="s">
        <v>585</v>
      </c>
      <c r="D32" s="3" t="s">
        <v>1039</v>
      </c>
      <c r="E32" s="478" t="s">
        <v>118</v>
      </c>
      <c r="G32" s="478" t="s">
        <v>118</v>
      </c>
      <c r="K32" s="366" t="s">
        <v>1059</v>
      </c>
      <c r="L32" s="412" t="s">
        <v>1096</v>
      </c>
      <c r="N32" s="56" t="s">
        <v>674</v>
      </c>
      <c r="V32" s="166" t="s">
        <v>557</v>
      </c>
      <c r="W32" s="381"/>
      <c r="AH32" s="410" t="s">
        <v>825</v>
      </c>
      <c r="AI32" s="411" t="s">
        <v>826</v>
      </c>
      <c r="AJ32" s="484">
        <v>4</v>
      </c>
      <c r="AK32" s="335">
        <v>118606.63454615939</v>
      </c>
      <c r="AM32" s="337" t="s">
        <v>218</v>
      </c>
      <c r="AN32" s="338" t="s">
        <v>334</v>
      </c>
      <c r="AP32" s="457" t="s">
        <v>23</v>
      </c>
      <c r="AQ32" s="425" t="s">
        <v>1677</v>
      </c>
      <c r="AR32" s="415">
        <v>1E-4</v>
      </c>
      <c r="AS32" s="436" t="s">
        <v>23</v>
      </c>
      <c r="AU32" s="430" t="s">
        <v>1028</v>
      </c>
      <c r="AV32" s="354">
        <v>30</v>
      </c>
    </row>
    <row r="33" spans="3:48" ht="16.2" thickBot="1" x14ac:dyDescent="0.35">
      <c r="C33" s="379" t="s">
        <v>989</v>
      </c>
      <c r="D33" s="3" t="s">
        <v>1039</v>
      </c>
      <c r="E33" s="478" t="s">
        <v>118</v>
      </c>
      <c r="G33" s="478" t="s">
        <v>118</v>
      </c>
      <c r="K33" s="350" t="s">
        <v>91</v>
      </c>
      <c r="L33" s="412" t="s">
        <v>1096</v>
      </c>
      <c r="N33" s="56" t="s">
        <v>658</v>
      </c>
      <c r="V33" s="166" t="s">
        <v>525</v>
      </c>
      <c r="W33" s="381"/>
      <c r="AH33" s="410" t="s">
        <v>827</v>
      </c>
      <c r="AI33" s="411" t="s">
        <v>828</v>
      </c>
      <c r="AJ33" s="484">
        <v>7</v>
      </c>
      <c r="AK33" s="335">
        <v>91390.596444592127</v>
      </c>
      <c r="AM33" s="337" t="s">
        <v>219</v>
      </c>
      <c r="AN33" s="338" t="s">
        <v>503</v>
      </c>
      <c r="AP33" s="457" t="s">
        <v>498</v>
      </c>
      <c r="AQ33" s="425" t="s">
        <v>1677</v>
      </c>
      <c r="AR33" s="415">
        <v>1.25E-4</v>
      </c>
      <c r="AS33" s="429" t="s">
        <v>501</v>
      </c>
    </row>
    <row r="34" spans="3:48" ht="16.2" thickBot="1" x14ac:dyDescent="0.35">
      <c r="C34" s="379" t="s">
        <v>1647</v>
      </c>
      <c r="D34" s="3" t="s">
        <v>1039</v>
      </c>
      <c r="E34" s="479" t="s">
        <v>118</v>
      </c>
      <c r="G34" s="479" t="s">
        <v>118</v>
      </c>
      <c r="K34" s="350" t="s">
        <v>90</v>
      </c>
      <c r="L34" s="412" t="s">
        <v>1096</v>
      </c>
      <c r="N34" s="56" t="s">
        <v>684</v>
      </c>
      <c r="V34" s="166" t="s">
        <v>480</v>
      </c>
      <c r="W34" s="381"/>
      <c r="AH34" s="410" t="s">
        <v>829</v>
      </c>
      <c r="AI34" s="411" t="s">
        <v>830</v>
      </c>
      <c r="AJ34" s="484">
        <v>4</v>
      </c>
      <c r="AK34" s="335">
        <v>115868.63820125158</v>
      </c>
      <c r="AM34" s="337" t="s">
        <v>220</v>
      </c>
      <c r="AN34" s="338" t="s">
        <v>24</v>
      </c>
      <c r="AP34" s="458" t="s">
        <v>334</v>
      </c>
      <c r="AQ34" s="425" t="s">
        <v>1678</v>
      </c>
      <c r="AR34" s="415">
        <v>5.0000000000000001E-4</v>
      </c>
      <c r="AS34" s="429" t="s">
        <v>335</v>
      </c>
      <c r="AU34" s="491" t="s">
        <v>1602</v>
      </c>
      <c r="AV34" s="492"/>
    </row>
    <row r="35" spans="3:48" ht="16.2" thickBot="1" x14ac:dyDescent="0.35">
      <c r="C35" s="379" t="s">
        <v>1648</v>
      </c>
      <c r="D35" s="3" t="s">
        <v>1039</v>
      </c>
      <c r="K35" s="366" t="s">
        <v>1622</v>
      </c>
      <c r="L35" s="412" t="s">
        <v>1097</v>
      </c>
      <c r="N35" s="56" t="s">
        <v>685</v>
      </c>
      <c r="V35" s="166" t="s">
        <v>589</v>
      </c>
      <c r="W35" s="381"/>
      <c r="AH35" s="410" t="s">
        <v>831</v>
      </c>
      <c r="AI35" s="411" t="s">
        <v>832</v>
      </c>
      <c r="AJ35" s="484">
        <v>6</v>
      </c>
      <c r="AK35" s="335">
        <v>98957.744918868033</v>
      </c>
      <c r="AM35" s="337" t="s">
        <v>221</v>
      </c>
      <c r="AN35" s="338" t="s">
        <v>332</v>
      </c>
      <c r="AP35" s="458" t="s">
        <v>500</v>
      </c>
      <c r="AQ35" s="425" t="s">
        <v>1678</v>
      </c>
      <c r="AR35" s="415">
        <v>1E-3</v>
      </c>
      <c r="AS35" s="427" t="s">
        <v>22</v>
      </c>
      <c r="AU35" s="416" t="s">
        <v>1603</v>
      </c>
      <c r="AV35" s="339">
        <v>0</v>
      </c>
    </row>
    <row r="36" spans="3:48" x14ac:dyDescent="0.3">
      <c r="C36" s="379" t="s">
        <v>1649</v>
      </c>
      <c r="D36" s="3" t="s">
        <v>1039</v>
      </c>
      <c r="E36" s="323" t="s">
        <v>533</v>
      </c>
      <c r="G36" s="459"/>
      <c r="K36" s="366" t="s">
        <v>1060</v>
      </c>
      <c r="L36" s="412" t="s">
        <v>1097</v>
      </c>
      <c r="N36" s="56" t="s">
        <v>657</v>
      </c>
      <c r="V36" s="166" t="s">
        <v>558</v>
      </c>
      <c r="W36" s="381"/>
      <c r="AH36" s="410" t="s">
        <v>833</v>
      </c>
      <c r="AI36" s="411" t="s">
        <v>834</v>
      </c>
      <c r="AJ36" s="484">
        <v>6</v>
      </c>
      <c r="AK36" s="335">
        <v>93827.324583264111</v>
      </c>
      <c r="AM36" s="337" t="s">
        <v>222</v>
      </c>
      <c r="AN36" s="338" t="s">
        <v>332</v>
      </c>
      <c r="AP36" s="458" t="s">
        <v>503</v>
      </c>
      <c r="AQ36" s="425" t="s">
        <v>1678</v>
      </c>
      <c r="AR36" s="415">
        <v>1.25E-3</v>
      </c>
      <c r="AS36" s="427" t="s">
        <v>504</v>
      </c>
      <c r="AU36" s="426" t="s">
        <v>1604</v>
      </c>
      <c r="AV36" s="333">
        <v>5</v>
      </c>
    </row>
    <row r="37" spans="3:48" ht="16.2" thickBot="1" x14ac:dyDescent="0.35">
      <c r="C37" s="379" t="s">
        <v>1650</v>
      </c>
      <c r="D37" s="3" t="s">
        <v>1039</v>
      </c>
      <c r="E37" s="384" t="s">
        <v>1040</v>
      </c>
      <c r="G37" s="459"/>
      <c r="K37" s="366" t="s">
        <v>1623</v>
      </c>
      <c r="L37" s="412" t="s">
        <v>1097</v>
      </c>
      <c r="N37" s="56" t="s">
        <v>671</v>
      </c>
      <c r="V37" s="166" t="s">
        <v>559</v>
      </c>
      <c r="W37" s="381"/>
      <c r="AH37" s="410" t="s">
        <v>835</v>
      </c>
      <c r="AI37" s="411" t="s">
        <v>836</v>
      </c>
      <c r="AJ37" s="484">
        <v>5</v>
      </c>
      <c r="AK37" s="335">
        <v>113702.16536523233</v>
      </c>
      <c r="AM37" s="337" t="s">
        <v>223</v>
      </c>
      <c r="AN37" s="338" t="s">
        <v>332</v>
      </c>
      <c r="AP37" s="458" t="s">
        <v>502</v>
      </c>
      <c r="AQ37" s="425" t="s">
        <v>1678</v>
      </c>
      <c r="AR37" s="415">
        <v>5.0000000000000001E-3</v>
      </c>
      <c r="AS37" s="427" t="s">
        <v>497</v>
      </c>
      <c r="AU37" s="426" t="s">
        <v>1605</v>
      </c>
      <c r="AV37" s="333">
        <v>15</v>
      </c>
    </row>
    <row r="38" spans="3:48" ht="16.2" thickBot="1" x14ac:dyDescent="0.35">
      <c r="C38" s="379" t="s">
        <v>1651</v>
      </c>
      <c r="D38" s="3" t="s">
        <v>1039</v>
      </c>
      <c r="E38" s="371"/>
      <c r="G38" s="459"/>
      <c r="K38" s="350" t="s">
        <v>88</v>
      </c>
      <c r="L38" s="412" t="s">
        <v>1098</v>
      </c>
      <c r="N38" s="56" t="s">
        <v>686</v>
      </c>
      <c r="V38" s="88" t="s">
        <v>528</v>
      </c>
      <c r="W38" s="385"/>
      <c r="AH38" s="410" t="s">
        <v>837</v>
      </c>
      <c r="AI38" s="411" t="s">
        <v>838</v>
      </c>
      <c r="AJ38" s="484">
        <v>5</v>
      </c>
      <c r="AK38" s="335">
        <v>126581.38118181314</v>
      </c>
      <c r="AM38" s="337" t="s">
        <v>224</v>
      </c>
      <c r="AN38" s="338" t="s">
        <v>332</v>
      </c>
      <c r="AP38" s="460" t="s">
        <v>333</v>
      </c>
      <c r="AQ38" s="425" t="s">
        <v>1679</v>
      </c>
      <c r="AR38" s="415">
        <v>0.01</v>
      </c>
      <c r="AS38" s="427" t="s">
        <v>4</v>
      </c>
      <c r="AU38" s="426" t="s">
        <v>1606</v>
      </c>
      <c r="AV38" s="333">
        <v>20</v>
      </c>
    </row>
    <row r="39" spans="3:48" x14ac:dyDescent="0.3">
      <c r="C39" s="379" t="s">
        <v>1652</v>
      </c>
      <c r="D39" s="3" t="s">
        <v>1039</v>
      </c>
      <c r="E39" s="371" t="s">
        <v>1662</v>
      </c>
      <c r="G39" s="459"/>
      <c r="K39" s="350" t="s">
        <v>86</v>
      </c>
      <c r="L39" s="412" t="s">
        <v>1099</v>
      </c>
      <c r="N39" s="56" t="s">
        <v>687</v>
      </c>
      <c r="AH39" s="410" t="s">
        <v>839</v>
      </c>
      <c r="AI39" s="411" t="s">
        <v>840</v>
      </c>
      <c r="AJ39" s="484">
        <v>6</v>
      </c>
      <c r="AK39" s="335">
        <v>95621.642576286205</v>
      </c>
      <c r="AM39" s="337" t="s">
        <v>225</v>
      </c>
      <c r="AN39" s="338" t="s">
        <v>333</v>
      </c>
      <c r="AP39" s="460" t="s">
        <v>499</v>
      </c>
      <c r="AQ39" s="425" t="s">
        <v>1679</v>
      </c>
      <c r="AR39" s="415">
        <v>0.05</v>
      </c>
      <c r="AS39" s="424" t="s">
        <v>496</v>
      </c>
      <c r="AU39" s="426" t="s">
        <v>1607</v>
      </c>
      <c r="AV39" s="333">
        <v>25</v>
      </c>
    </row>
    <row r="40" spans="3:48" x14ac:dyDescent="0.3">
      <c r="C40" s="379" t="s">
        <v>1653</v>
      </c>
      <c r="D40" s="3" t="s">
        <v>1039</v>
      </c>
      <c r="E40" s="371" t="s">
        <v>1661</v>
      </c>
      <c r="K40" s="350" t="s">
        <v>715</v>
      </c>
      <c r="L40" s="412" t="s">
        <v>1100</v>
      </c>
      <c r="N40" s="56" t="s">
        <v>688</v>
      </c>
      <c r="AH40" s="410" t="s">
        <v>841</v>
      </c>
      <c r="AI40" s="411" t="s">
        <v>842</v>
      </c>
      <c r="AJ40" s="484">
        <v>4</v>
      </c>
      <c r="AK40" s="335">
        <v>107907.18280999058</v>
      </c>
      <c r="AM40" s="337" t="s">
        <v>226</v>
      </c>
      <c r="AN40" s="338" t="s">
        <v>24</v>
      </c>
      <c r="AP40" s="460" t="s">
        <v>24</v>
      </c>
      <c r="AQ40" s="425" t="s">
        <v>1679</v>
      </c>
      <c r="AR40" s="415">
        <v>0.33333333333333331</v>
      </c>
      <c r="AS40" s="461" t="s">
        <v>495</v>
      </c>
      <c r="AU40" s="426" t="s">
        <v>1608</v>
      </c>
      <c r="AV40" s="333">
        <v>30</v>
      </c>
    </row>
    <row r="41" spans="3:48" ht="16.5" customHeight="1" thickBot="1" x14ac:dyDescent="0.35">
      <c r="C41" s="379" t="s">
        <v>1654</v>
      </c>
      <c r="D41" s="3" t="s">
        <v>1039</v>
      </c>
      <c r="E41" s="371" t="s">
        <v>116</v>
      </c>
      <c r="G41"/>
      <c r="H41"/>
      <c r="K41" s="350" t="s">
        <v>82</v>
      </c>
      <c r="L41" s="412" t="s">
        <v>1101</v>
      </c>
      <c r="N41" s="56" t="s">
        <v>659</v>
      </c>
      <c r="R41"/>
      <c r="S41"/>
      <c r="AH41" s="410" t="s">
        <v>843</v>
      </c>
      <c r="AI41" s="411" t="s">
        <v>844</v>
      </c>
      <c r="AJ41" s="484">
        <v>4</v>
      </c>
      <c r="AK41" s="335">
        <v>107703.38372930165</v>
      </c>
      <c r="AM41" s="337" t="s">
        <v>227</v>
      </c>
      <c r="AN41" s="338" t="s">
        <v>332</v>
      </c>
      <c r="AP41" s="462" t="s">
        <v>332</v>
      </c>
      <c r="AQ41" s="447" t="s">
        <v>1680</v>
      </c>
      <c r="AU41" s="426" t="s">
        <v>1609</v>
      </c>
      <c r="AV41" s="333">
        <v>40</v>
      </c>
    </row>
    <row r="42" spans="3:48" x14ac:dyDescent="0.3">
      <c r="C42" s="379" t="s">
        <v>1655</v>
      </c>
      <c r="D42" s="3" t="s">
        <v>1039</v>
      </c>
      <c r="E42" s="371" t="s">
        <v>537</v>
      </c>
      <c r="G42"/>
      <c r="H42"/>
      <c r="K42" s="350" t="s">
        <v>80</v>
      </c>
      <c r="L42" s="412" t="s">
        <v>1102</v>
      </c>
      <c r="N42" s="56" t="s">
        <v>689</v>
      </c>
      <c r="R42"/>
      <c r="S42"/>
      <c r="AH42" s="410" t="s">
        <v>845</v>
      </c>
      <c r="AI42" s="411" t="s">
        <v>846</v>
      </c>
      <c r="AJ42" s="484">
        <v>5</v>
      </c>
      <c r="AK42" s="335">
        <v>116736.99950157834</v>
      </c>
      <c r="AM42" s="337" t="s">
        <v>228</v>
      </c>
      <c r="AN42" s="338" t="s">
        <v>332</v>
      </c>
      <c r="AU42" s="426" t="s">
        <v>1610</v>
      </c>
      <c r="AV42" s="333">
        <v>50</v>
      </c>
    </row>
    <row r="43" spans="3:48" ht="16.5" customHeight="1" thickBot="1" x14ac:dyDescent="0.35">
      <c r="C43" s="379" t="s">
        <v>1656</v>
      </c>
      <c r="D43" s="3" t="s">
        <v>1039</v>
      </c>
      <c r="E43" s="371" t="s">
        <v>983</v>
      </c>
      <c r="G43"/>
      <c r="H43"/>
      <c r="K43" s="350" t="s">
        <v>78</v>
      </c>
      <c r="L43" s="412" t="s">
        <v>1103</v>
      </c>
      <c r="N43" s="56" t="s">
        <v>660</v>
      </c>
      <c r="R43"/>
      <c r="S43"/>
      <c r="AH43" s="410" t="s">
        <v>847</v>
      </c>
      <c r="AI43" s="411" t="s">
        <v>848</v>
      </c>
      <c r="AJ43" s="484">
        <v>3</v>
      </c>
      <c r="AK43" s="335">
        <v>103140.05648778866</v>
      </c>
      <c r="AM43" s="337" t="s">
        <v>229</v>
      </c>
      <c r="AN43" s="338" t="s">
        <v>332</v>
      </c>
      <c r="AQ43" s="21" t="s">
        <v>1675</v>
      </c>
      <c r="AU43" s="426" t="s">
        <v>1611</v>
      </c>
      <c r="AV43" s="333">
        <v>60</v>
      </c>
    </row>
    <row r="44" spans="3:48" x14ac:dyDescent="0.3">
      <c r="C44" s="379" t="s">
        <v>1657</v>
      </c>
      <c r="D44" s="3" t="s">
        <v>1039</v>
      </c>
      <c r="E44" s="371" t="s">
        <v>1226</v>
      </c>
      <c r="G44"/>
      <c r="H44"/>
      <c r="K44" s="350" t="s">
        <v>1038</v>
      </c>
      <c r="L44" s="412" t="s">
        <v>1104</v>
      </c>
      <c r="N44" s="56" t="s">
        <v>690</v>
      </c>
      <c r="R44"/>
      <c r="S44"/>
      <c r="AH44" s="410" t="s">
        <v>849</v>
      </c>
      <c r="AI44" s="411" t="s">
        <v>850</v>
      </c>
      <c r="AJ44" s="484">
        <v>6</v>
      </c>
      <c r="AK44" s="335">
        <v>105665.39292241237</v>
      </c>
      <c r="AM44" s="337" t="s">
        <v>230</v>
      </c>
      <c r="AN44" s="338" t="s">
        <v>332</v>
      </c>
      <c r="AP44" s="463">
        <v>1</v>
      </c>
      <c r="AQ44" s="464" t="s">
        <v>1670</v>
      </c>
      <c r="AU44" s="426" t="s">
        <v>1612</v>
      </c>
      <c r="AV44" s="333">
        <v>70</v>
      </c>
    </row>
    <row r="45" spans="3:48" ht="16.5" customHeight="1" thickBot="1" x14ac:dyDescent="0.35">
      <c r="C45" s="379" t="s">
        <v>1658</v>
      </c>
      <c r="D45" s="3" t="s">
        <v>1039</v>
      </c>
      <c r="E45" s="479" t="s">
        <v>118</v>
      </c>
      <c r="G45"/>
      <c r="H45"/>
      <c r="K45" s="350" t="s">
        <v>75</v>
      </c>
      <c r="L45" s="412" t="s">
        <v>1105</v>
      </c>
      <c r="N45" s="56" t="s">
        <v>661</v>
      </c>
      <c r="R45"/>
      <c r="S45"/>
      <c r="AH45" s="410" t="s">
        <v>851</v>
      </c>
      <c r="AI45" s="411" t="s">
        <v>852</v>
      </c>
      <c r="AJ45" s="484">
        <v>5</v>
      </c>
      <c r="AK45" s="335">
        <v>106037.54776540954</v>
      </c>
      <c r="AM45" s="337" t="s">
        <v>231</v>
      </c>
      <c r="AN45" s="338" t="s">
        <v>332</v>
      </c>
      <c r="AP45" s="465">
        <v>2</v>
      </c>
      <c r="AQ45" s="466" t="s">
        <v>1681</v>
      </c>
      <c r="AU45" s="430" t="s">
        <v>1022</v>
      </c>
      <c r="AV45" s="354">
        <v>90</v>
      </c>
    </row>
    <row r="46" spans="3:48" x14ac:dyDescent="0.3">
      <c r="C46" s="379" t="s">
        <v>1659</v>
      </c>
      <c r="D46" s="3" t="s">
        <v>1039</v>
      </c>
      <c r="G46"/>
      <c r="H46"/>
      <c r="K46" s="350" t="s">
        <v>714</v>
      </c>
      <c r="L46" s="412" t="s">
        <v>1106</v>
      </c>
      <c r="N46" s="56" t="s">
        <v>662</v>
      </c>
      <c r="R46"/>
      <c r="S46"/>
      <c r="AH46" s="410" t="s">
        <v>853</v>
      </c>
      <c r="AI46" s="411" t="s">
        <v>854</v>
      </c>
      <c r="AJ46" s="484">
        <v>5</v>
      </c>
      <c r="AK46" s="335">
        <v>104167.91272082849</v>
      </c>
      <c r="AM46" s="337" t="s">
        <v>232</v>
      </c>
      <c r="AN46" s="338" t="s">
        <v>24</v>
      </c>
      <c r="AP46" s="467">
        <v>3</v>
      </c>
      <c r="AQ46" s="468" t="s">
        <v>1671</v>
      </c>
    </row>
    <row r="47" spans="3:48" ht="15.75" customHeight="1" x14ac:dyDescent="0.3">
      <c r="C47" s="379" t="s">
        <v>1660</v>
      </c>
      <c r="D47" s="3" t="s">
        <v>1039</v>
      </c>
      <c r="G47"/>
      <c r="H47"/>
      <c r="K47" s="350" t="s">
        <v>1165</v>
      </c>
      <c r="L47" s="412" t="s">
        <v>1106</v>
      </c>
      <c r="N47" s="56" t="s">
        <v>691</v>
      </c>
      <c r="R47"/>
      <c r="S47"/>
      <c r="AH47" s="410" t="s">
        <v>855</v>
      </c>
      <c r="AI47" s="411" t="s">
        <v>856</v>
      </c>
      <c r="AJ47" s="484">
        <v>5</v>
      </c>
      <c r="AK47" s="335">
        <v>108855.29157667386</v>
      </c>
      <c r="AM47" s="337" t="s">
        <v>233</v>
      </c>
      <c r="AN47" s="338" t="s">
        <v>332</v>
      </c>
      <c r="AP47" s="469">
        <v>4</v>
      </c>
      <c r="AQ47" s="470" t="s">
        <v>1672</v>
      </c>
    </row>
    <row r="48" spans="3:48" x14ac:dyDescent="0.3">
      <c r="C48" s="379" t="s">
        <v>1617</v>
      </c>
      <c r="D48" s="3" t="s">
        <v>1039</v>
      </c>
      <c r="G48"/>
      <c r="H48"/>
      <c r="K48" s="350" t="s">
        <v>73</v>
      </c>
      <c r="L48" s="412" t="s">
        <v>1106</v>
      </c>
      <c r="N48" s="56" t="s">
        <v>692</v>
      </c>
      <c r="R48"/>
      <c r="S48"/>
      <c r="AH48" s="410" t="s">
        <v>857</v>
      </c>
      <c r="AI48" s="411" t="s">
        <v>858</v>
      </c>
      <c r="AJ48" s="484">
        <v>4</v>
      </c>
      <c r="AK48" s="335">
        <v>105217.92102785624</v>
      </c>
      <c r="AM48" s="337" t="s">
        <v>234</v>
      </c>
      <c r="AN48" s="338" t="s">
        <v>332</v>
      </c>
      <c r="AP48" s="471">
        <v>5</v>
      </c>
      <c r="AQ48" s="472" t="s">
        <v>1673</v>
      </c>
    </row>
    <row r="49" spans="3:43" ht="16.5" customHeight="1" thickBot="1" x14ac:dyDescent="0.35">
      <c r="C49" s="383" t="s">
        <v>101</v>
      </c>
      <c r="D49" s="3" t="s">
        <v>1039</v>
      </c>
      <c r="G49"/>
      <c r="H49"/>
      <c r="K49" s="350" t="s">
        <v>72</v>
      </c>
      <c r="L49" s="412" t="s">
        <v>1106</v>
      </c>
      <c r="N49" s="56" t="s">
        <v>670</v>
      </c>
      <c r="R49"/>
      <c r="S49"/>
      <c r="AH49" s="410" t="s">
        <v>859</v>
      </c>
      <c r="AI49" s="411" t="s">
        <v>860</v>
      </c>
      <c r="AJ49" s="484">
        <v>5</v>
      </c>
      <c r="AK49" s="335">
        <v>102856.5099407432</v>
      </c>
      <c r="AM49" s="337" t="s">
        <v>235</v>
      </c>
      <c r="AN49" s="338" t="s">
        <v>332</v>
      </c>
      <c r="AP49" s="473">
        <v>6</v>
      </c>
      <c r="AQ49" s="474" t="s">
        <v>1674</v>
      </c>
    </row>
    <row r="50" spans="3:43" x14ac:dyDescent="0.3">
      <c r="C50" s="379" t="s">
        <v>99</v>
      </c>
      <c r="D50" s="3" t="s">
        <v>1039</v>
      </c>
      <c r="G50"/>
      <c r="H50"/>
      <c r="K50" s="350" t="s">
        <v>71</v>
      </c>
      <c r="L50" s="412" t="s">
        <v>1107</v>
      </c>
      <c r="N50" s="56" t="s">
        <v>693</v>
      </c>
      <c r="R50"/>
      <c r="S50"/>
      <c r="AH50" s="410" t="s">
        <v>861</v>
      </c>
      <c r="AI50" s="411" t="s">
        <v>862</v>
      </c>
      <c r="AJ50" s="484">
        <v>7</v>
      </c>
      <c r="AK50" s="335">
        <v>112922.41236085727</v>
      </c>
      <c r="AM50" s="337" t="s">
        <v>236</v>
      </c>
      <c r="AN50" s="338" t="s">
        <v>332</v>
      </c>
    </row>
    <row r="51" spans="3:43" ht="15.75" customHeight="1" x14ac:dyDescent="0.3">
      <c r="C51" s="383" t="s">
        <v>97</v>
      </c>
      <c r="D51" s="3" t="s">
        <v>1039</v>
      </c>
      <c r="G51"/>
      <c r="H51"/>
      <c r="K51" s="350" t="s">
        <v>1618</v>
      </c>
      <c r="L51" s="412" t="s">
        <v>1107</v>
      </c>
      <c r="N51" s="56" t="s">
        <v>694</v>
      </c>
      <c r="R51"/>
      <c r="S51"/>
      <c r="AH51" s="410" t="s">
        <v>863</v>
      </c>
      <c r="AI51" s="411" t="s">
        <v>864</v>
      </c>
      <c r="AJ51" s="484">
        <v>2</v>
      </c>
      <c r="AK51" s="335">
        <v>128987.09641690203</v>
      </c>
      <c r="AM51" s="337" t="s">
        <v>237</v>
      </c>
      <c r="AN51" s="338" t="s">
        <v>332</v>
      </c>
    </row>
    <row r="52" spans="3:43" x14ac:dyDescent="0.3">
      <c r="C52" s="383" t="s">
        <v>95</v>
      </c>
      <c r="D52" s="3" t="s">
        <v>1039</v>
      </c>
      <c r="G52"/>
      <c r="H52"/>
      <c r="K52" s="350" t="s">
        <v>70</v>
      </c>
      <c r="L52" s="412" t="s">
        <v>1108</v>
      </c>
      <c r="N52" s="56" t="s">
        <v>1057</v>
      </c>
      <c r="R52"/>
      <c r="S52"/>
      <c r="AH52" s="410" t="s">
        <v>865</v>
      </c>
      <c r="AI52" s="411" t="s">
        <v>866</v>
      </c>
      <c r="AJ52" s="484">
        <v>6</v>
      </c>
      <c r="AK52" s="335">
        <v>112692.03079138284</v>
      </c>
      <c r="AM52" s="337" t="s">
        <v>238</v>
      </c>
      <c r="AN52" s="338" t="s">
        <v>332</v>
      </c>
    </row>
    <row r="53" spans="3:43" ht="15.75" customHeight="1" x14ac:dyDescent="0.3">
      <c r="C53" s="383" t="s">
        <v>94</v>
      </c>
      <c r="D53" s="3" t="s">
        <v>1039</v>
      </c>
      <c r="G53"/>
      <c r="H53"/>
      <c r="K53" s="366" t="s">
        <v>1061</v>
      </c>
      <c r="L53" s="412" t="s">
        <v>1109</v>
      </c>
      <c r="N53" s="56" t="s">
        <v>1056</v>
      </c>
      <c r="R53"/>
      <c r="S53"/>
      <c r="AH53" s="410" t="s">
        <v>867</v>
      </c>
      <c r="AI53" s="411" t="s">
        <v>868</v>
      </c>
      <c r="AJ53" s="484">
        <v>4</v>
      </c>
      <c r="AK53" s="335">
        <v>128092.15262778976</v>
      </c>
      <c r="AM53" s="337" t="s">
        <v>338</v>
      </c>
      <c r="AN53" s="338" t="s">
        <v>496</v>
      </c>
    </row>
    <row r="54" spans="3:43" x14ac:dyDescent="0.3">
      <c r="C54" s="383" t="s">
        <v>92</v>
      </c>
      <c r="D54" s="3" t="s">
        <v>1039</v>
      </c>
      <c r="G54"/>
      <c r="H54"/>
      <c r="K54" s="350" t="s">
        <v>69</v>
      </c>
      <c r="L54" s="412" t="s">
        <v>1110</v>
      </c>
      <c r="N54" s="482" t="s">
        <v>483</v>
      </c>
      <c r="R54"/>
      <c r="S54"/>
      <c r="AH54" s="410" t="s">
        <v>869</v>
      </c>
      <c r="AI54" s="411" t="s">
        <v>870</v>
      </c>
      <c r="AJ54" s="484">
        <v>5</v>
      </c>
      <c r="AK54" s="335">
        <v>113042.03356039208</v>
      </c>
      <c r="AM54" s="337" t="s">
        <v>339</v>
      </c>
      <c r="AN54" s="338" t="s">
        <v>4</v>
      </c>
    </row>
    <row r="55" spans="3:43" x14ac:dyDescent="0.3">
      <c r="C55" s="383" t="s">
        <v>1227</v>
      </c>
      <c r="D55" s="3" t="s">
        <v>1039</v>
      </c>
      <c r="G55"/>
      <c r="H55"/>
      <c r="K55" s="350" t="s">
        <v>718</v>
      </c>
      <c r="L55" s="412" t="s">
        <v>1111</v>
      </c>
      <c r="N55" s="482" t="s">
        <v>483</v>
      </c>
      <c r="R55"/>
      <c r="S55"/>
      <c r="AH55" s="410" t="s">
        <v>871</v>
      </c>
      <c r="AI55" s="411" t="s">
        <v>872</v>
      </c>
      <c r="AJ55" s="484">
        <v>5</v>
      </c>
      <c r="AK55" s="335">
        <v>110685.05288807664</v>
      </c>
      <c r="AM55" s="337" t="s">
        <v>340</v>
      </c>
      <c r="AN55" s="338" t="s">
        <v>22</v>
      </c>
    </row>
    <row r="56" spans="3:43" ht="16.2" thickBot="1" x14ac:dyDescent="0.35">
      <c r="C56" s="383" t="s">
        <v>89</v>
      </c>
      <c r="D56" s="3" t="s">
        <v>1039</v>
      </c>
      <c r="G56"/>
      <c r="H56"/>
      <c r="K56" s="350" t="s">
        <v>712</v>
      </c>
      <c r="L56" s="412" t="s">
        <v>1112</v>
      </c>
      <c r="N56" s="483" t="s">
        <v>483</v>
      </c>
      <c r="R56"/>
      <c r="S56"/>
      <c r="AH56" s="410" t="s">
        <v>873</v>
      </c>
      <c r="AI56" s="411" t="s">
        <v>874</v>
      </c>
      <c r="AJ56" s="484">
        <v>4</v>
      </c>
      <c r="AK56" s="335">
        <v>126776.31943290691</v>
      </c>
      <c r="AM56" s="337" t="s">
        <v>341</v>
      </c>
      <c r="AN56" s="338" t="s">
        <v>23</v>
      </c>
    </row>
    <row r="57" spans="3:43" x14ac:dyDescent="0.3">
      <c r="C57" s="383" t="s">
        <v>87</v>
      </c>
      <c r="D57" s="3" t="s">
        <v>1039</v>
      </c>
      <c r="G57"/>
      <c r="H57"/>
      <c r="K57" s="366" t="s">
        <v>1062</v>
      </c>
      <c r="L57" s="412" t="s">
        <v>1113</v>
      </c>
      <c r="R57"/>
      <c r="S57"/>
      <c r="AH57" s="410" t="s">
        <v>875</v>
      </c>
      <c r="AI57" s="411" t="s">
        <v>876</v>
      </c>
      <c r="AJ57" s="484">
        <v>5</v>
      </c>
      <c r="AK57" s="335">
        <v>99174.83524394971</v>
      </c>
      <c r="AM57" s="337" t="s">
        <v>342</v>
      </c>
      <c r="AN57" s="338" t="s">
        <v>503</v>
      </c>
    </row>
    <row r="58" spans="3:43" x14ac:dyDescent="0.3">
      <c r="C58" s="383" t="s">
        <v>1626</v>
      </c>
      <c r="D58" s="3" t="s">
        <v>1039</v>
      </c>
      <c r="K58" s="350" t="s">
        <v>713</v>
      </c>
      <c r="L58" s="412" t="s">
        <v>1114</v>
      </c>
      <c r="AH58" s="410" t="s">
        <v>877</v>
      </c>
      <c r="AI58" s="411" t="s">
        <v>878</v>
      </c>
      <c r="AJ58" s="484">
        <v>5</v>
      </c>
      <c r="AK58" s="335">
        <v>100379.90806889295</v>
      </c>
      <c r="AM58" s="337" t="s">
        <v>343</v>
      </c>
      <c r="AN58" s="338" t="s">
        <v>24</v>
      </c>
    </row>
    <row r="59" spans="3:43" x14ac:dyDescent="0.3">
      <c r="C59" s="383" t="s">
        <v>83</v>
      </c>
      <c r="K59" s="350" t="s">
        <v>67</v>
      </c>
      <c r="L59" s="412" t="s">
        <v>1115</v>
      </c>
      <c r="AH59" s="410" t="s">
        <v>879</v>
      </c>
      <c r="AI59" s="411" t="s">
        <v>880</v>
      </c>
      <c r="AJ59" s="484">
        <v>7</v>
      </c>
      <c r="AK59" s="335">
        <v>104566.65005261118</v>
      </c>
      <c r="AM59" s="337" t="s">
        <v>344</v>
      </c>
      <c r="AN59" s="338" t="s">
        <v>332</v>
      </c>
    </row>
    <row r="60" spans="3:43" x14ac:dyDescent="0.3">
      <c r="C60" s="383" t="s">
        <v>81</v>
      </c>
      <c r="K60" s="366" t="s">
        <v>1063</v>
      </c>
      <c r="L60" s="412" t="s">
        <v>1115</v>
      </c>
      <c r="AH60" s="410" t="s">
        <v>881</v>
      </c>
      <c r="AI60" s="411" t="s">
        <v>882</v>
      </c>
      <c r="AJ60" s="484">
        <v>3</v>
      </c>
      <c r="AK60" s="335">
        <v>160000</v>
      </c>
      <c r="AM60" s="337" t="s">
        <v>239</v>
      </c>
      <c r="AN60" s="338" t="s">
        <v>4</v>
      </c>
    </row>
    <row r="61" spans="3:43" x14ac:dyDescent="0.3">
      <c r="C61" s="383" t="s">
        <v>79</v>
      </c>
      <c r="K61" s="366" t="s">
        <v>1064</v>
      </c>
      <c r="L61" s="412" t="s">
        <v>1115</v>
      </c>
      <c r="AH61" s="410" t="s">
        <v>883</v>
      </c>
      <c r="AI61" s="411" t="s">
        <v>884</v>
      </c>
      <c r="AJ61" s="484">
        <v>4</v>
      </c>
      <c r="AK61" s="335">
        <v>126076.31389488842</v>
      </c>
      <c r="AM61" s="337" t="s">
        <v>240</v>
      </c>
      <c r="AN61" s="338" t="s">
        <v>504</v>
      </c>
    </row>
    <row r="62" spans="3:43" x14ac:dyDescent="0.3">
      <c r="C62" s="383" t="s">
        <v>77</v>
      </c>
      <c r="K62" s="366" t="s">
        <v>1228</v>
      </c>
      <c r="L62" s="412" t="s">
        <v>1229</v>
      </c>
      <c r="AH62" s="410" t="s">
        <v>885</v>
      </c>
      <c r="AI62" s="411" t="s">
        <v>886</v>
      </c>
      <c r="AJ62" s="484">
        <v>3</v>
      </c>
      <c r="AK62" s="335">
        <v>143740.37769286148</v>
      </c>
      <c r="AM62" s="337" t="s">
        <v>241</v>
      </c>
      <c r="AN62" s="338" t="s">
        <v>501</v>
      </c>
    </row>
    <row r="63" spans="3:43" x14ac:dyDescent="0.3">
      <c r="C63" s="383" t="s">
        <v>74</v>
      </c>
      <c r="D63" s="3" t="s">
        <v>1043</v>
      </c>
      <c r="K63" s="350" t="s">
        <v>66</v>
      </c>
      <c r="L63" s="412" t="s">
        <v>1116</v>
      </c>
      <c r="AH63" s="410" t="s">
        <v>887</v>
      </c>
      <c r="AI63" s="411" t="s">
        <v>888</v>
      </c>
      <c r="AJ63" s="484">
        <v>6</v>
      </c>
      <c r="AK63" s="335">
        <v>108554.02337043805</v>
      </c>
      <c r="AM63" s="337" t="s">
        <v>242</v>
      </c>
      <c r="AN63" s="338" t="s">
        <v>500</v>
      </c>
    </row>
    <row r="64" spans="3:43" x14ac:dyDescent="0.3">
      <c r="C64" s="383" t="s">
        <v>763</v>
      </c>
      <c r="D64" s="3" t="s">
        <v>1043</v>
      </c>
      <c r="K64" s="366" t="s">
        <v>1065</v>
      </c>
      <c r="L64" s="412" t="s">
        <v>1116</v>
      </c>
      <c r="AH64" s="410" t="s">
        <v>889</v>
      </c>
      <c r="AI64" s="411" t="s">
        <v>890</v>
      </c>
      <c r="AJ64" s="484">
        <v>3</v>
      </c>
      <c r="AK64" s="335">
        <v>120861.71567813036</v>
      </c>
      <c r="AM64" s="337" t="s">
        <v>243</v>
      </c>
      <c r="AN64" s="338" t="s">
        <v>499</v>
      </c>
    </row>
    <row r="65" spans="3:40" x14ac:dyDescent="0.3">
      <c r="C65" s="383" t="s">
        <v>760</v>
      </c>
      <c r="D65" s="3" t="s">
        <v>1043</v>
      </c>
      <c r="K65" s="350" t="s">
        <v>65</v>
      </c>
      <c r="L65" s="412" t="s">
        <v>1117</v>
      </c>
      <c r="AH65" s="410" t="s">
        <v>891</v>
      </c>
      <c r="AI65" s="411" t="s">
        <v>892</v>
      </c>
      <c r="AJ65" s="484">
        <v>6</v>
      </c>
      <c r="AK65" s="335">
        <v>104012.848202913</v>
      </c>
      <c r="AM65" s="337" t="s">
        <v>244</v>
      </c>
      <c r="AN65" s="338" t="s">
        <v>332</v>
      </c>
    </row>
    <row r="66" spans="3:40" x14ac:dyDescent="0.3">
      <c r="C66" s="383" t="s">
        <v>762</v>
      </c>
      <c r="D66" s="3" t="s">
        <v>1043</v>
      </c>
      <c r="K66" s="350" t="s">
        <v>1164</v>
      </c>
      <c r="L66" s="412" t="s">
        <v>1117</v>
      </c>
      <c r="AH66" s="410" t="s">
        <v>893</v>
      </c>
      <c r="AI66" s="411" t="s">
        <v>894</v>
      </c>
      <c r="AJ66" s="484">
        <v>7</v>
      </c>
      <c r="AK66" s="335">
        <v>105350.8334717838</v>
      </c>
      <c r="AM66" s="337" t="s">
        <v>245</v>
      </c>
      <c r="AN66" s="338" t="s">
        <v>332</v>
      </c>
    </row>
    <row r="67" spans="3:40" x14ac:dyDescent="0.3">
      <c r="C67" s="383" t="s">
        <v>764</v>
      </c>
      <c r="D67" s="3" t="s">
        <v>1043</v>
      </c>
      <c r="K67" s="350" t="s">
        <v>716</v>
      </c>
      <c r="L67" s="412" t="s">
        <v>1118</v>
      </c>
      <c r="AH67" s="410" t="s">
        <v>895</v>
      </c>
      <c r="AI67" s="411" t="s">
        <v>896</v>
      </c>
      <c r="AJ67" s="484">
        <v>4</v>
      </c>
      <c r="AK67" s="335">
        <v>134330.17666279007</v>
      </c>
      <c r="AM67" s="337" t="s">
        <v>246</v>
      </c>
      <c r="AN67" s="338" t="s">
        <v>22</v>
      </c>
    </row>
    <row r="68" spans="3:40" x14ac:dyDescent="0.3">
      <c r="C68" s="383" t="s">
        <v>1021</v>
      </c>
      <c r="D68" s="3" t="s">
        <v>1043</v>
      </c>
      <c r="K68" s="350" t="s">
        <v>719</v>
      </c>
      <c r="L68" s="412" t="s">
        <v>1119</v>
      </c>
      <c r="AH68" s="410" t="s">
        <v>897</v>
      </c>
      <c r="AI68" s="411" t="s">
        <v>898</v>
      </c>
      <c r="AJ68" s="484">
        <v>7</v>
      </c>
      <c r="AK68" s="335">
        <v>107800.85285484853</v>
      </c>
      <c r="AM68" s="337" t="s">
        <v>247</v>
      </c>
      <c r="AN68" s="338" t="s">
        <v>501</v>
      </c>
    </row>
    <row r="69" spans="3:40" x14ac:dyDescent="0.3">
      <c r="C69" s="383" t="s">
        <v>994</v>
      </c>
      <c r="D69" s="3" t="s">
        <v>1043</v>
      </c>
      <c r="K69" s="350" t="s">
        <v>711</v>
      </c>
      <c r="L69" s="412" t="s">
        <v>1119</v>
      </c>
      <c r="AH69" s="410" t="s">
        <v>899</v>
      </c>
      <c r="AI69" s="411" t="s">
        <v>900</v>
      </c>
      <c r="AJ69" s="484">
        <v>4</v>
      </c>
      <c r="AK69" s="335">
        <v>130347.23375976075</v>
      </c>
      <c r="AM69" s="337" t="s">
        <v>248</v>
      </c>
      <c r="AN69" s="338" t="s">
        <v>500</v>
      </c>
    </row>
    <row r="70" spans="3:40" x14ac:dyDescent="0.3">
      <c r="C70" s="383" t="s">
        <v>995</v>
      </c>
      <c r="D70" s="3" t="s">
        <v>1043</v>
      </c>
      <c r="K70" s="350" t="s">
        <v>64</v>
      </c>
      <c r="L70" s="412" t="s">
        <v>1120</v>
      </c>
      <c r="AH70" s="410" t="s">
        <v>901</v>
      </c>
      <c r="AI70" s="411" t="s">
        <v>902</v>
      </c>
      <c r="AJ70" s="484">
        <v>4</v>
      </c>
      <c r="AK70" s="335">
        <v>138180.20712189178</v>
      </c>
      <c r="AM70" s="337" t="s">
        <v>249</v>
      </c>
      <c r="AN70" s="338" t="s">
        <v>499</v>
      </c>
    </row>
    <row r="71" spans="3:40" x14ac:dyDescent="0.3">
      <c r="C71" s="383" t="s">
        <v>761</v>
      </c>
      <c r="D71" s="3" t="s">
        <v>1043</v>
      </c>
      <c r="K71" s="350" t="s">
        <v>63</v>
      </c>
      <c r="L71" s="412" t="s">
        <v>1121</v>
      </c>
      <c r="AH71" s="410" t="s">
        <v>903</v>
      </c>
      <c r="AI71" s="411" t="s">
        <v>904</v>
      </c>
      <c r="AJ71" s="484">
        <v>5</v>
      </c>
      <c r="AK71" s="335">
        <v>113431.91006257961</v>
      </c>
      <c r="AM71" s="337" t="s">
        <v>250</v>
      </c>
      <c r="AN71" s="338" t="s">
        <v>332</v>
      </c>
    </row>
    <row r="72" spans="3:40" x14ac:dyDescent="0.3">
      <c r="C72" s="480" t="s">
        <v>118</v>
      </c>
      <c r="D72" s="3" t="s">
        <v>1043</v>
      </c>
      <c r="K72" s="366" t="s">
        <v>1066</v>
      </c>
      <c r="L72" s="412" t="s">
        <v>1121</v>
      </c>
      <c r="AH72" s="410" t="s">
        <v>905</v>
      </c>
      <c r="AI72" s="411" t="s">
        <v>906</v>
      </c>
      <c r="AJ72" s="484">
        <v>5</v>
      </c>
      <c r="AK72" s="335">
        <v>108992.63443539901</v>
      </c>
      <c r="AM72" s="337" t="s">
        <v>251</v>
      </c>
      <c r="AN72" s="338" t="s">
        <v>332</v>
      </c>
    </row>
    <row r="73" spans="3:40" x14ac:dyDescent="0.3">
      <c r="C73" s="480" t="s">
        <v>118</v>
      </c>
      <c r="D73" s="3" t="s">
        <v>1043</v>
      </c>
      <c r="K73" s="350" t="s">
        <v>710</v>
      </c>
      <c r="L73" s="412" t="s">
        <v>1230</v>
      </c>
      <c r="AH73" s="410" t="s">
        <v>907</v>
      </c>
      <c r="AI73" s="411" t="s">
        <v>908</v>
      </c>
      <c r="AJ73" s="484">
        <v>6</v>
      </c>
      <c r="AK73" s="335">
        <v>110751.50911004042</v>
      </c>
      <c r="AM73" s="337" t="s">
        <v>252</v>
      </c>
      <c r="AN73" s="338" t="s">
        <v>332</v>
      </c>
    </row>
    <row r="74" spans="3:40" ht="16.2" thickBot="1" x14ac:dyDescent="0.35">
      <c r="C74" s="481" t="s">
        <v>118</v>
      </c>
      <c r="D74" s="3" t="s">
        <v>1043</v>
      </c>
      <c r="K74" s="366" t="s">
        <v>1624</v>
      </c>
      <c r="L74" s="412" t="s">
        <v>1122</v>
      </c>
      <c r="AH74" s="410" t="s">
        <v>909</v>
      </c>
      <c r="AI74" s="411" t="s">
        <v>910</v>
      </c>
      <c r="AJ74" s="484">
        <v>4</v>
      </c>
      <c r="AK74" s="335">
        <v>120750.95530819074</v>
      </c>
      <c r="AM74" s="337" t="s">
        <v>253</v>
      </c>
      <c r="AN74" s="338" t="s">
        <v>498</v>
      </c>
    </row>
    <row r="75" spans="3:40" ht="16.2" thickBot="1" x14ac:dyDescent="0.35">
      <c r="D75" s="3" t="s">
        <v>1043</v>
      </c>
      <c r="K75" s="350" t="s">
        <v>1231</v>
      </c>
      <c r="L75" s="412" t="s">
        <v>1123</v>
      </c>
      <c r="AH75" s="410" t="s">
        <v>911</v>
      </c>
      <c r="AI75" s="411" t="s">
        <v>912</v>
      </c>
      <c r="AJ75" s="484">
        <v>6</v>
      </c>
      <c r="AK75" s="335">
        <v>126173.78302043528</v>
      </c>
      <c r="AM75" s="337" t="s">
        <v>254</v>
      </c>
      <c r="AN75" s="338" t="s">
        <v>500</v>
      </c>
    </row>
    <row r="76" spans="3:40" ht="16.2" thickBot="1" x14ac:dyDescent="0.35">
      <c r="C76" s="324" t="s">
        <v>1041</v>
      </c>
      <c r="D76" s="3" t="s">
        <v>1043</v>
      </c>
      <c r="K76" s="350" t="s">
        <v>1232</v>
      </c>
      <c r="L76" s="412" t="s">
        <v>1123</v>
      </c>
      <c r="AH76" s="410" t="s">
        <v>913</v>
      </c>
      <c r="AI76" s="411" t="s">
        <v>914</v>
      </c>
      <c r="AJ76" s="484">
        <v>4</v>
      </c>
      <c r="AK76" s="335">
        <v>105302.09890901035</v>
      </c>
      <c r="AM76" s="337" t="s">
        <v>255</v>
      </c>
      <c r="AN76" s="338" t="s">
        <v>499</v>
      </c>
    </row>
    <row r="77" spans="3:40" x14ac:dyDescent="0.3">
      <c r="C77" s="378"/>
      <c r="D77" s="3" t="s">
        <v>1043</v>
      </c>
      <c r="K77" s="366" t="s">
        <v>1067</v>
      </c>
      <c r="L77" s="412" t="s">
        <v>1123</v>
      </c>
      <c r="AH77" s="410" t="s">
        <v>915</v>
      </c>
      <c r="AI77" s="411" t="s">
        <v>916</v>
      </c>
      <c r="AJ77" s="484">
        <v>3</v>
      </c>
      <c r="AK77" s="335">
        <v>120228.16636207564</v>
      </c>
      <c r="AM77" s="337" t="s">
        <v>256</v>
      </c>
      <c r="AN77" s="338" t="s">
        <v>332</v>
      </c>
    </row>
    <row r="78" spans="3:40" x14ac:dyDescent="0.3">
      <c r="C78" s="379" t="s">
        <v>736</v>
      </c>
      <c r="D78" s="3" t="s">
        <v>1043</v>
      </c>
      <c r="K78" s="350" t="s">
        <v>62</v>
      </c>
      <c r="L78" s="412" t="s">
        <v>1023</v>
      </c>
      <c r="AH78" s="410" t="s">
        <v>917</v>
      </c>
      <c r="AI78" s="411" t="s">
        <v>918</v>
      </c>
      <c r="AJ78" s="484">
        <v>5</v>
      </c>
      <c r="AK78" s="335">
        <v>107898.32198039541</v>
      </c>
      <c r="AM78" s="337" t="s">
        <v>257</v>
      </c>
      <c r="AN78" s="338" t="s">
        <v>332</v>
      </c>
    </row>
    <row r="79" spans="3:40" x14ac:dyDescent="0.3">
      <c r="C79" s="380" t="s">
        <v>988</v>
      </c>
      <c r="D79" s="3" t="s">
        <v>1043</v>
      </c>
      <c r="K79" s="350" t="s">
        <v>61</v>
      </c>
      <c r="L79" s="412" t="s">
        <v>1124</v>
      </c>
      <c r="AH79" s="410" t="s">
        <v>919</v>
      </c>
      <c r="AI79" s="411" t="s">
        <v>920</v>
      </c>
      <c r="AJ79" s="484">
        <v>5</v>
      </c>
      <c r="AK79" s="335">
        <v>104136.89981724539</v>
      </c>
      <c r="AM79" s="337" t="s">
        <v>258</v>
      </c>
      <c r="AN79" s="338" t="s">
        <v>332</v>
      </c>
    </row>
    <row r="80" spans="3:40" x14ac:dyDescent="0.3">
      <c r="C80" s="379" t="s">
        <v>987</v>
      </c>
      <c r="D80" s="3" t="s">
        <v>1043</v>
      </c>
      <c r="K80" s="350" t="s">
        <v>1233</v>
      </c>
      <c r="L80" s="412" t="s">
        <v>1124</v>
      </c>
      <c r="AH80" s="410" t="s">
        <v>921</v>
      </c>
      <c r="AI80" s="411" t="s">
        <v>922</v>
      </c>
      <c r="AJ80" s="484">
        <v>7</v>
      </c>
      <c r="AK80" s="335">
        <v>88577.283048125377</v>
      </c>
      <c r="AM80" s="337" t="s">
        <v>259</v>
      </c>
      <c r="AN80" s="338" t="s">
        <v>332</v>
      </c>
    </row>
    <row r="81" spans="3:40" x14ac:dyDescent="0.3">
      <c r="C81" s="383" t="s">
        <v>585</v>
      </c>
      <c r="D81" s="3" t="s">
        <v>1043</v>
      </c>
      <c r="K81" s="386" t="s">
        <v>1234</v>
      </c>
      <c r="L81" s="412" t="s">
        <v>1124</v>
      </c>
      <c r="AH81" s="410" t="s">
        <v>923</v>
      </c>
      <c r="AI81" s="411" t="s">
        <v>924</v>
      </c>
      <c r="AJ81" s="484">
        <v>4</v>
      </c>
      <c r="AK81" s="335">
        <v>108150.85562385777</v>
      </c>
      <c r="AM81" s="337" t="s">
        <v>260</v>
      </c>
      <c r="AN81" s="338" t="s">
        <v>502</v>
      </c>
    </row>
    <row r="82" spans="3:40" x14ac:dyDescent="0.3">
      <c r="C82" s="379" t="s">
        <v>989</v>
      </c>
      <c r="D82" s="3" t="s">
        <v>1043</v>
      </c>
      <c r="K82" s="386" t="s">
        <v>1235</v>
      </c>
      <c r="L82" s="412" t="s">
        <v>1124</v>
      </c>
      <c r="AH82" s="410" t="s">
        <v>925</v>
      </c>
      <c r="AI82" s="411" t="s">
        <v>926</v>
      </c>
      <c r="AJ82" s="484">
        <v>7</v>
      </c>
      <c r="AK82" s="335">
        <v>98120.396522124385</v>
      </c>
      <c r="AM82" s="337" t="s">
        <v>261</v>
      </c>
      <c r="AN82" s="338" t="s">
        <v>499</v>
      </c>
    </row>
    <row r="83" spans="3:40" x14ac:dyDescent="0.3">
      <c r="C83" s="379" t="s">
        <v>1647</v>
      </c>
      <c r="D83" s="3" t="s">
        <v>1043</v>
      </c>
      <c r="K83" s="366" t="s">
        <v>1068</v>
      </c>
      <c r="L83" s="412" t="s">
        <v>1124</v>
      </c>
      <c r="AH83" s="410" t="s">
        <v>927</v>
      </c>
      <c r="AI83" s="411" t="s">
        <v>928</v>
      </c>
      <c r="AJ83" s="484">
        <v>4</v>
      </c>
      <c r="AK83" s="335">
        <v>117565.4870687268</v>
      </c>
      <c r="AM83" s="337" t="s">
        <v>262</v>
      </c>
      <c r="AN83" s="338" t="s">
        <v>332</v>
      </c>
    </row>
    <row r="84" spans="3:40" x14ac:dyDescent="0.3">
      <c r="C84" s="379" t="s">
        <v>1648</v>
      </c>
      <c r="D84" s="3" t="s">
        <v>1043</v>
      </c>
      <c r="K84" s="366" t="s">
        <v>1069</v>
      </c>
      <c r="L84" s="412" t="s">
        <v>1125</v>
      </c>
      <c r="AH84" s="410" t="s">
        <v>929</v>
      </c>
      <c r="AI84" s="411" t="s">
        <v>930</v>
      </c>
      <c r="AJ84" s="484">
        <v>4</v>
      </c>
      <c r="AK84" s="335">
        <v>107823.00492883645</v>
      </c>
      <c r="AM84" s="337" t="s">
        <v>263</v>
      </c>
      <c r="AN84" s="338" t="s">
        <v>332</v>
      </c>
    </row>
    <row r="85" spans="3:40" x14ac:dyDescent="0.3">
      <c r="C85" s="379" t="s">
        <v>1649</v>
      </c>
      <c r="D85" s="3" t="s">
        <v>1043</v>
      </c>
      <c r="K85" s="350" t="s">
        <v>60</v>
      </c>
      <c r="L85" s="412" t="s">
        <v>1126</v>
      </c>
      <c r="AH85" s="410" t="s">
        <v>931</v>
      </c>
      <c r="AI85" s="411" t="s">
        <v>932</v>
      </c>
      <c r="AJ85" s="484">
        <v>6</v>
      </c>
      <c r="AK85" s="335">
        <v>99803.954145206837</v>
      </c>
      <c r="AM85" s="337" t="s">
        <v>264</v>
      </c>
      <c r="AN85" s="338" t="s">
        <v>332</v>
      </c>
    </row>
    <row r="86" spans="3:40" x14ac:dyDescent="0.3">
      <c r="C86" s="379" t="s">
        <v>1650</v>
      </c>
      <c r="D86" s="3" t="s">
        <v>1043</v>
      </c>
      <c r="K86" s="350" t="s">
        <v>59</v>
      </c>
      <c r="L86" s="412" t="s">
        <v>1126</v>
      </c>
      <c r="AH86" s="410" t="s">
        <v>933</v>
      </c>
      <c r="AI86" s="411" t="s">
        <v>934</v>
      </c>
      <c r="AJ86" s="484">
        <v>6</v>
      </c>
      <c r="AK86" s="335">
        <v>134281.4421000166</v>
      </c>
      <c r="AM86" s="337" t="s">
        <v>265</v>
      </c>
      <c r="AN86" s="338" t="s">
        <v>332</v>
      </c>
    </row>
    <row r="87" spans="3:40" x14ac:dyDescent="0.3">
      <c r="C87" s="379" t="s">
        <v>1651</v>
      </c>
      <c r="D87" s="3" t="s">
        <v>1043</v>
      </c>
      <c r="K87" s="350" t="s">
        <v>58</v>
      </c>
      <c r="L87" s="412" t="s">
        <v>1126</v>
      </c>
      <c r="AH87" s="410" t="s">
        <v>935</v>
      </c>
      <c r="AI87" s="411" t="s">
        <v>936</v>
      </c>
      <c r="AJ87" s="484">
        <v>5</v>
      </c>
      <c r="AK87" s="335">
        <v>110742.64828044525</v>
      </c>
      <c r="AM87" s="337" t="s">
        <v>266</v>
      </c>
      <c r="AN87" s="338" t="s">
        <v>332</v>
      </c>
    </row>
    <row r="88" spans="3:40" x14ac:dyDescent="0.3">
      <c r="C88" s="379" t="s">
        <v>1652</v>
      </c>
      <c r="D88" s="3" t="s">
        <v>1043</v>
      </c>
      <c r="K88" s="350" t="s">
        <v>57</v>
      </c>
      <c r="L88" s="412" t="s">
        <v>1127</v>
      </c>
      <c r="AH88" s="410" t="s">
        <v>937</v>
      </c>
      <c r="AI88" s="411" t="s">
        <v>938</v>
      </c>
      <c r="AJ88" s="484">
        <v>7</v>
      </c>
      <c r="AK88" s="335">
        <v>114995.84648612727</v>
      </c>
      <c r="AM88" s="337" t="s">
        <v>267</v>
      </c>
      <c r="AN88" s="338" t="s">
        <v>24</v>
      </c>
    </row>
    <row r="89" spans="3:40" x14ac:dyDescent="0.3">
      <c r="C89" s="379" t="s">
        <v>1653</v>
      </c>
      <c r="D89" s="3" t="s">
        <v>1043</v>
      </c>
      <c r="K89" s="350" t="s">
        <v>56</v>
      </c>
      <c r="L89" s="412" t="s">
        <v>1128</v>
      </c>
      <c r="AH89" s="410" t="s">
        <v>939</v>
      </c>
      <c r="AI89" s="411" t="s">
        <v>940</v>
      </c>
      <c r="AJ89" s="484">
        <v>6</v>
      </c>
      <c r="AK89" s="335">
        <v>107362.24178988757</v>
      </c>
      <c r="AM89" s="337" t="s">
        <v>268</v>
      </c>
      <c r="AN89" s="338" t="s">
        <v>332</v>
      </c>
    </row>
    <row r="90" spans="3:40" x14ac:dyDescent="0.3">
      <c r="C90" s="379" t="s">
        <v>1654</v>
      </c>
      <c r="D90" s="3" t="s">
        <v>1043</v>
      </c>
      <c r="K90" s="350" t="s">
        <v>55</v>
      </c>
      <c r="L90" s="412" t="s">
        <v>1129</v>
      </c>
      <c r="AH90" s="410" t="s">
        <v>941</v>
      </c>
      <c r="AI90" s="411" t="s">
        <v>942</v>
      </c>
      <c r="AJ90" s="484">
        <v>5</v>
      </c>
      <c r="AK90" s="335">
        <v>111562.27501799856</v>
      </c>
      <c r="AM90" s="337" t="s">
        <v>269</v>
      </c>
      <c r="AN90" s="338" t="s">
        <v>332</v>
      </c>
    </row>
    <row r="91" spans="3:40" x14ac:dyDescent="0.3">
      <c r="C91" s="379" t="s">
        <v>1655</v>
      </c>
      <c r="D91" s="3" t="s">
        <v>1043</v>
      </c>
      <c r="K91" s="366" t="s">
        <v>1070</v>
      </c>
      <c r="L91" s="412" t="s">
        <v>1130</v>
      </c>
      <c r="AH91" s="410" t="s">
        <v>943</v>
      </c>
      <c r="AI91" s="411" t="s">
        <v>944</v>
      </c>
      <c r="AJ91" s="484">
        <v>5</v>
      </c>
      <c r="AK91" s="335">
        <v>132704.2144320762</v>
      </c>
      <c r="AM91" s="337" t="s">
        <v>270</v>
      </c>
      <c r="AN91" s="338" t="s">
        <v>332</v>
      </c>
    </row>
    <row r="92" spans="3:40" x14ac:dyDescent="0.3">
      <c r="C92" s="379" t="s">
        <v>1656</v>
      </c>
      <c r="K92" s="386" t="s">
        <v>1620</v>
      </c>
      <c r="L92" s="64" t="s">
        <v>1621</v>
      </c>
      <c r="AH92" s="410" t="s">
        <v>945</v>
      </c>
      <c r="AI92" s="411" t="s">
        <v>946</v>
      </c>
      <c r="AJ92" s="484">
        <v>7</v>
      </c>
      <c r="AK92" s="335">
        <v>99520.407598161371</v>
      </c>
      <c r="AM92" s="337" t="s">
        <v>271</v>
      </c>
      <c r="AN92" s="338" t="s">
        <v>332</v>
      </c>
    </row>
    <row r="93" spans="3:40" x14ac:dyDescent="0.3">
      <c r="C93" s="379" t="s">
        <v>1657</v>
      </c>
      <c r="K93" s="366" t="s">
        <v>1071</v>
      </c>
      <c r="L93" s="412" t="s">
        <v>1131</v>
      </c>
      <c r="AH93" s="410" t="s">
        <v>947</v>
      </c>
      <c r="AI93" s="411" t="s">
        <v>948</v>
      </c>
      <c r="AJ93" s="484">
        <v>2</v>
      </c>
      <c r="AK93" s="335">
        <v>121335.77006147201</v>
      </c>
      <c r="AM93" s="337" t="s">
        <v>272</v>
      </c>
      <c r="AN93" s="338" t="s">
        <v>332</v>
      </c>
    </row>
    <row r="94" spans="3:40" x14ac:dyDescent="0.3">
      <c r="C94" s="379" t="s">
        <v>1658</v>
      </c>
      <c r="K94" s="350" t="s">
        <v>54</v>
      </c>
      <c r="L94" s="412" t="s">
        <v>1116</v>
      </c>
      <c r="AH94" s="410" t="s">
        <v>949</v>
      </c>
      <c r="AI94" s="411" t="s">
        <v>950</v>
      </c>
      <c r="AJ94" s="484">
        <v>7</v>
      </c>
      <c r="AK94" s="335">
        <v>102457.77260896051</v>
      </c>
      <c r="AM94" s="337" t="s">
        <v>273</v>
      </c>
      <c r="AN94" s="338" t="s">
        <v>332</v>
      </c>
    </row>
    <row r="95" spans="3:40" x14ac:dyDescent="0.3">
      <c r="C95" s="379" t="s">
        <v>1659</v>
      </c>
      <c r="K95" s="350" t="s">
        <v>53</v>
      </c>
      <c r="L95" s="412" t="s">
        <v>1116</v>
      </c>
      <c r="AH95" s="410" t="s">
        <v>951</v>
      </c>
      <c r="AI95" s="411" t="s">
        <v>952</v>
      </c>
      <c r="AJ95" s="484">
        <v>6</v>
      </c>
      <c r="AK95" s="335">
        <v>102032.45278839231</v>
      </c>
      <c r="AM95" s="337" t="s">
        <v>274</v>
      </c>
      <c r="AN95" s="338" t="s">
        <v>332</v>
      </c>
    </row>
    <row r="96" spans="3:40" x14ac:dyDescent="0.3">
      <c r="C96" s="379" t="s">
        <v>1660</v>
      </c>
      <c r="K96" s="350" t="s">
        <v>52</v>
      </c>
      <c r="L96" s="412" t="s">
        <v>1127</v>
      </c>
      <c r="AH96" s="410" t="s">
        <v>953</v>
      </c>
      <c r="AI96" s="411" t="s">
        <v>954</v>
      </c>
      <c r="AJ96" s="484">
        <v>5</v>
      </c>
      <c r="AK96" s="335">
        <v>106170.46020933709</v>
      </c>
      <c r="AM96" s="337" t="s">
        <v>275</v>
      </c>
      <c r="AN96" s="338" t="s">
        <v>332</v>
      </c>
    </row>
    <row r="97" spans="3:40" x14ac:dyDescent="0.3">
      <c r="C97" s="379" t="s">
        <v>1617</v>
      </c>
      <c r="K97" s="350" t="s">
        <v>51</v>
      </c>
      <c r="L97" s="412" t="s">
        <v>1127</v>
      </c>
      <c r="AH97" s="410" t="s">
        <v>955</v>
      </c>
      <c r="AI97" s="411" t="s">
        <v>956</v>
      </c>
      <c r="AJ97" s="484">
        <v>4</v>
      </c>
      <c r="AK97" s="335">
        <v>119988.92396300603</v>
      </c>
      <c r="AM97" s="337" t="s">
        <v>276</v>
      </c>
      <c r="AN97" s="338" t="s">
        <v>332</v>
      </c>
    </row>
    <row r="98" spans="3:40" x14ac:dyDescent="0.3">
      <c r="C98" s="383" t="s">
        <v>101</v>
      </c>
      <c r="K98" s="350" t="s">
        <v>50</v>
      </c>
      <c r="L98" s="412" t="s">
        <v>1127</v>
      </c>
      <c r="AH98" s="410" t="s">
        <v>957</v>
      </c>
      <c r="AI98" s="411" t="s">
        <v>958</v>
      </c>
      <c r="AJ98" s="484">
        <v>7</v>
      </c>
      <c r="AK98" s="335">
        <v>90318.436063576461</v>
      </c>
      <c r="AM98" s="337" t="s">
        <v>277</v>
      </c>
      <c r="AN98" s="338" t="s">
        <v>332</v>
      </c>
    </row>
    <row r="99" spans="3:40" x14ac:dyDescent="0.3">
      <c r="C99" s="379" t="s">
        <v>99</v>
      </c>
      <c r="K99" s="350" t="s">
        <v>49</v>
      </c>
      <c r="L99" s="412" t="s">
        <v>1132</v>
      </c>
      <c r="AH99" s="410" t="s">
        <v>959</v>
      </c>
      <c r="AI99" s="411" t="s">
        <v>960</v>
      </c>
      <c r="AJ99" s="484">
        <v>2</v>
      </c>
      <c r="AK99" s="335">
        <v>124091.48806557014</v>
      </c>
      <c r="AM99" s="337" t="s">
        <v>278</v>
      </c>
      <c r="AN99" s="338" t="s">
        <v>332</v>
      </c>
    </row>
    <row r="100" spans="3:40" x14ac:dyDescent="0.3">
      <c r="C100" s="383" t="s">
        <v>97</v>
      </c>
      <c r="K100" s="366" t="s">
        <v>1072</v>
      </c>
      <c r="L100" s="412" t="s">
        <v>1133</v>
      </c>
      <c r="AH100" s="410" t="s">
        <v>961</v>
      </c>
      <c r="AI100" s="411" t="s">
        <v>962</v>
      </c>
      <c r="AJ100" s="484">
        <v>3</v>
      </c>
      <c r="AK100" s="335">
        <v>133683.33610234258</v>
      </c>
      <c r="AM100" s="337" t="s">
        <v>279</v>
      </c>
      <c r="AN100" s="338" t="s">
        <v>332</v>
      </c>
    </row>
    <row r="101" spans="3:40" x14ac:dyDescent="0.3">
      <c r="C101" s="383" t="s">
        <v>95</v>
      </c>
      <c r="K101" s="366" t="s">
        <v>1073</v>
      </c>
      <c r="L101" s="412" t="s">
        <v>1134</v>
      </c>
      <c r="AH101" s="410" t="s">
        <v>963</v>
      </c>
      <c r="AI101" s="411" t="s">
        <v>964</v>
      </c>
      <c r="AJ101" s="484">
        <v>5</v>
      </c>
      <c r="AK101" s="335">
        <v>111584.42709198649</v>
      </c>
      <c r="AM101" s="337" t="s">
        <v>280</v>
      </c>
      <c r="AN101" s="338" t="s">
        <v>332</v>
      </c>
    </row>
    <row r="102" spans="3:40" x14ac:dyDescent="0.3">
      <c r="C102" s="383" t="s">
        <v>94</v>
      </c>
      <c r="K102" s="350" t="s">
        <v>709</v>
      </c>
      <c r="L102" s="412" t="s">
        <v>1135</v>
      </c>
      <c r="AH102" s="410" t="s">
        <v>965</v>
      </c>
      <c r="AI102" s="411" t="s">
        <v>966</v>
      </c>
      <c r="AJ102" s="484">
        <v>4</v>
      </c>
      <c r="AK102" s="335">
        <v>123134.51846929168</v>
      </c>
      <c r="AM102" s="337" t="s">
        <v>345</v>
      </c>
      <c r="AN102" s="338" t="s">
        <v>497</v>
      </c>
    </row>
    <row r="103" spans="3:40" x14ac:dyDescent="0.3">
      <c r="C103" s="383" t="s">
        <v>92</v>
      </c>
      <c r="D103" s="3" t="s">
        <v>108</v>
      </c>
      <c r="K103" s="350" t="s">
        <v>48</v>
      </c>
      <c r="L103" s="412" t="s">
        <v>1136</v>
      </c>
      <c r="AH103" s="410" t="s">
        <v>967</v>
      </c>
      <c r="AI103" s="411" t="s">
        <v>968</v>
      </c>
      <c r="AJ103" s="484">
        <v>3</v>
      </c>
      <c r="AK103" s="335">
        <v>130196.59965664285</v>
      </c>
      <c r="AM103" s="337" t="s">
        <v>346</v>
      </c>
      <c r="AN103" s="338" t="s">
        <v>22</v>
      </c>
    </row>
    <row r="104" spans="3:40" x14ac:dyDescent="0.3">
      <c r="C104" s="383" t="s">
        <v>1227</v>
      </c>
      <c r="D104" s="3" t="s">
        <v>108</v>
      </c>
      <c r="K104" s="350" t="s">
        <v>47</v>
      </c>
      <c r="L104" s="412" t="s">
        <v>1136</v>
      </c>
      <c r="AH104" s="410" t="s">
        <v>969</v>
      </c>
      <c r="AI104" s="411" t="s">
        <v>970</v>
      </c>
      <c r="AJ104" s="484">
        <v>5</v>
      </c>
      <c r="AK104" s="335">
        <v>116143.32391870189</v>
      </c>
      <c r="AM104" s="337" t="s">
        <v>347</v>
      </c>
      <c r="AN104" s="338" t="s">
        <v>498</v>
      </c>
    </row>
    <row r="105" spans="3:40" x14ac:dyDescent="0.3">
      <c r="C105" s="383" t="s">
        <v>89</v>
      </c>
      <c r="D105" s="3" t="s">
        <v>108</v>
      </c>
      <c r="K105" s="350" t="s">
        <v>46</v>
      </c>
      <c r="L105" s="412" t="s">
        <v>1137</v>
      </c>
      <c r="AH105" s="410" t="s">
        <v>971</v>
      </c>
      <c r="AI105" s="411" t="s">
        <v>972</v>
      </c>
      <c r="AJ105" s="484">
        <v>3</v>
      </c>
      <c r="AK105" s="335">
        <v>103569.80672315446</v>
      </c>
      <c r="AM105" s="337" t="s">
        <v>348</v>
      </c>
      <c r="AN105" s="338" t="s">
        <v>503</v>
      </c>
    </row>
    <row r="106" spans="3:40" x14ac:dyDescent="0.3">
      <c r="C106" s="383" t="s">
        <v>87</v>
      </c>
      <c r="D106" s="3" t="s">
        <v>108</v>
      </c>
      <c r="K106" s="350" t="s">
        <v>45</v>
      </c>
      <c r="L106" s="412" t="s">
        <v>1138</v>
      </c>
      <c r="AH106" s="410" t="s">
        <v>973</v>
      </c>
      <c r="AI106" s="411" t="s">
        <v>974</v>
      </c>
      <c r="AJ106" s="484">
        <v>3</v>
      </c>
      <c r="AK106" s="335">
        <v>112913.55153126211</v>
      </c>
      <c r="AM106" s="337" t="s">
        <v>349</v>
      </c>
      <c r="AN106" s="338" t="s">
        <v>24</v>
      </c>
    </row>
    <row r="107" spans="3:40" x14ac:dyDescent="0.3">
      <c r="C107" s="383" t="s">
        <v>84</v>
      </c>
      <c r="D107" s="3" t="s">
        <v>108</v>
      </c>
      <c r="K107" s="350" t="s">
        <v>44</v>
      </c>
      <c r="L107" s="412" t="s">
        <v>1139</v>
      </c>
      <c r="AH107" s="410" t="s">
        <v>975</v>
      </c>
      <c r="AI107" s="411" t="s">
        <v>976</v>
      </c>
      <c r="AJ107" s="484">
        <v>4</v>
      </c>
      <c r="AK107" s="335">
        <v>120737.66406379797</v>
      </c>
      <c r="AM107" s="337" t="s">
        <v>350</v>
      </c>
      <c r="AN107" s="338" t="s">
        <v>332</v>
      </c>
    </row>
    <row r="108" spans="3:40" x14ac:dyDescent="0.3">
      <c r="C108" s="383" t="s">
        <v>83</v>
      </c>
      <c r="D108" s="3" t="s">
        <v>108</v>
      </c>
      <c r="K108" s="350" t="s">
        <v>43</v>
      </c>
      <c r="L108" s="412" t="s">
        <v>1140</v>
      </c>
      <c r="AH108" s="410" t="s">
        <v>977</v>
      </c>
      <c r="AI108" s="411" t="s">
        <v>978</v>
      </c>
      <c r="AJ108" s="484">
        <v>6</v>
      </c>
      <c r="AK108" s="335">
        <v>96817.854571634263</v>
      </c>
      <c r="AM108" s="337" t="s">
        <v>351</v>
      </c>
      <c r="AN108" s="338" t="s">
        <v>332</v>
      </c>
    </row>
    <row r="109" spans="3:40" x14ac:dyDescent="0.3">
      <c r="C109" s="383" t="s">
        <v>81</v>
      </c>
      <c r="D109" s="3" t="s">
        <v>108</v>
      </c>
      <c r="K109" s="350" t="s">
        <v>42</v>
      </c>
      <c r="L109" s="412" t="s">
        <v>1141</v>
      </c>
      <c r="AH109" s="410" t="s">
        <v>979</v>
      </c>
      <c r="AI109" s="411" t="s">
        <v>980</v>
      </c>
      <c r="AJ109" s="484">
        <v>4</v>
      </c>
      <c r="AK109" s="335">
        <v>120011.07603699397</v>
      </c>
      <c r="AM109" s="337" t="s">
        <v>352</v>
      </c>
      <c r="AN109" s="338" t="s">
        <v>22</v>
      </c>
    </row>
    <row r="110" spans="3:40" ht="16.2" thickBot="1" x14ac:dyDescent="0.35">
      <c r="C110" s="383" t="s">
        <v>79</v>
      </c>
      <c r="D110" s="3" t="s">
        <v>108</v>
      </c>
      <c r="K110" s="350" t="s">
        <v>41</v>
      </c>
      <c r="L110" s="412" t="s">
        <v>1142</v>
      </c>
      <c r="AH110" s="406" t="s">
        <v>981</v>
      </c>
      <c r="AI110" s="407" t="s">
        <v>982</v>
      </c>
      <c r="AJ110" s="485">
        <v>5</v>
      </c>
      <c r="AK110" s="387">
        <v>106321.09431245501</v>
      </c>
      <c r="AM110" s="337" t="s">
        <v>353</v>
      </c>
      <c r="AN110" s="338" t="s">
        <v>501</v>
      </c>
    </row>
    <row r="111" spans="3:40" x14ac:dyDescent="0.3">
      <c r="C111" s="383" t="s">
        <v>77</v>
      </c>
      <c r="D111" s="3" t="s">
        <v>108</v>
      </c>
      <c r="K111" s="350" t="s">
        <v>40</v>
      </c>
      <c r="L111" s="412" t="s">
        <v>1142</v>
      </c>
      <c r="AM111" s="337" t="s">
        <v>354</v>
      </c>
      <c r="AN111" s="338" t="s">
        <v>500</v>
      </c>
    </row>
    <row r="112" spans="3:40" x14ac:dyDescent="0.3">
      <c r="C112" s="383" t="s">
        <v>74</v>
      </c>
      <c r="D112" s="3" t="s">
        <v>108</v>
      </c>
      <c r="K112" s="350" t="s">
        <v>39</v>
      </c>
      <c r="L112" s="412" t="s">
        <v>1142</v>
      </c>
      <c r="AM112" s="337" t="s">
        <v>1353</v>
      </c>
      <c r="AN112" s="338" t="s">
        <v>499</v>
      </c>
    </row>
    <row r="113" spans="3:40" x14ac:dyDescent="0.3">
      <c r="C113" s="383" t="s">
        <v>1042</v>
      </c>
      <c r="D113" s="3" t="s">
        <v>108</v>
      </c>
      <c r="K113" s="350" t="s">
        <v>38</v>
      </c>
      <c r="L113" s="412" t="s">
        <v>1142</v>
      </c>
      <c r="AM113" s="337" t="s">
        <v>1354</v>
      </c>
      <c r="AN113" s="338" t="s">
        <v>332</v>
      </c>
    </row>
    <row r="114" spans="3:40" ht="16.2" thickBot="1" x14ac:dyDescent="0.35">
      <c r="C114" s="481" t="s">
        <v>118</v>
      </c>
      <c r="D114" s="3" t="s">
        <v>108</v>
      </c>
      <c r="K114" s="350" t="s">
        <v>708</v>
      </c>
      <c r="L114" s="412" t="s">
        <v>1142</v>
      </c>
      <c r="AM114" s="337" t="s">
        <v>1356</v>
      </c>
      <c r="AN114" s="338" t="s">
        <v>332</v>
      </c>
    </row>
    <row r="115" spans="3:40" x14ac:dyDescent="0.3">
      <c r="C115" s="203"/>
      <c r="K115" s="350" t="s">
        <v>1351</v>
      </c>
      <c r="L115" s="412" t="s">
        <v>1140</v>
      </c>
      <c r="AM115" s="337" t="s">
        <v>1357</v>
      </c>
      <c r="AN115" s="338" t="s">
        <v>332</v>
      </c>
    </row>
    <row r="116" spans="3:40" x14ac:dyDescent="0.3">
      <c r="K116" s="350" t="s">
        <v>1352</v>
      </c>
      <c r="L116" s="412" t="s">
        <v>1141</v>
      </c>
      <c r="AM116" s="337" t="s">
        <v>1358</v>
      </c>
      <c r="AN116" s="338" t="s">
        <v>498</v>
      </c>
    </row>
    <row r="117" spans="3:40" x14ac:dyDescent="0.3">
      <c r="K117" s="350" t="s">
        <v>41</v>
      </c>
      <c r="L117" s="412" t="s">
        <v>1142</v>
      </c>
      <c r="AM117" s="337" t="s">
        <v>1360</v>
      </c>
      <c r="AN117" s="338" t="s">
        <v>500</v>
      </c>
    </row>
    <row r="118" spans="3:40" x14ac:dyDescent="0.3">
      <c r="K118" s="350" t="s">
        <v>1355</v>
      </c>
      <c r="L118" s="412" t="s">
        <v>1142</v>
      </c>
      <c r="AM118" s="337" t="s">
        <v>1361</v>
      </c>
      <c r="AN118" s="338" t="s">
        <v>499</v>
      </c>
    </row>
    <row r="119" spans="3:40" x14ac:dyDescent="0.3">
      <c r="K119" s="350" t="s">
        <v>39</v>
      </c>
      <c r="L119" s="412" t="s">
        <v>1142</v>
      </c>
      <c r="AM119" s="337" t="s">
        <v>1363</v>
      </c>
      <c r="AN119" s="338" t="s">
        <v>332</v>
      </c>
    </row>
    <row r="120" spans="3:40" x14ac:dyDescent="0.3">
      <c r="K120" s="350" t="s">
        <v>38</v>
      </c>
      <c r="L120" s="412" t="s">
        <v>1142</v>
      </c>
      <c r="AM120" s="337" t="s">
        <v>1366</v>
      </c>
      <c r="AN120" s="338" t="s">
        <v>332</v>
      </c>
    </row>
    <row r="121" spans="3:40" x14ac:dyDescent="0.3">
      <c r="K121" s="350" t="s">
        <v>1359</v>
      </c>
      <c r="L121" s="412" t="s">
        <v>1142</v>
      </c>
      <c r="AM121" s="337" t="s">
        <v>1369</v>
      </c>
      <c r="AN121" s="338" t="s">
        <v>332</v>
      </c>
    </row>
    <row r="122" spans="3:40" x14ac:dyDescent="0.3">
      <c r="K122" s="350" t="s">
        <v>37</v>
      </c>
      <c r="L122" s="412" t="s">
        <v>1143</v>
      </c>
      <c r="AM122" s="337" t="s">
        <v>1372</v>
      </c>
      <c r="AN122" s="338" t="s">
        <v>332</v>
      </c>
    </row>
    <row r="123" spans="3:40" x14ac:dyDescent="0.3">
      <c r="K123" s="350" t="s">
        <v>1362</v>
      </c>
      <c r="L123" s="412" t="s">
        <v>1143</v>
      </c>
      <c r="AM123" s="337" t="s">
        <v>1375</v>
      </c>
      <c r="AN123" s="338" t="s">
        <v>503</v>
      </c>
    </row>
    <row r="124" spans="3:40" x14ac:dyDescent="0.3">
      <c r="K124" s="350" t="s">
        <v>1364</v>
      </c>
      <c r="L124" s="412" t="s">
        <v>1365</v>
      </c>
      <c r="AM124" s="337" t="s">
        <v>1377</v>
      </c>
      <c r="AN124" s="338" t="s">
        <v>499</v>
      </c>
    </row>
    <row r="125" spans="3:40" x14ac:dyDescent="0.3">
      <c r="K125" s="350" t="s">
        <v>1367</v>
      </c>
      <c r="L125" s="412" t="s">
        <v>1368</v>
      </c>
      <c r="AM125" s="337" t="s">
        <v>1380</v>
      </c>
      <c r="AN125" s="338" t="s">
        <v>332</v>
      </c>
    </row>
    <row r="126" spans="3:40" x14ac:dyDescent="0.3">
      <c r="K126" s="350" t="s">
        <v>1370</v>
      </c>
      <c r="L126" s="412" t="s">
        <v>1371</v>
      </c>
      <c r="AM126" s="337" t="s">
        <v>1383</v>
      </c>
      <c r="AN126" s="338" t="s">
        <v>332</v>
      </c>
    </row>
    <row r="127" spans="3:40" x14ac:dyDescent="0.3">
      <c r="K127" s="350" t="s">
        <v>1373</v>
      </c>
      <c r="L127" s="412" t="s">
        <v>1374</v>
      </c>
      <c r="AM127" s="337" t="s">
        <v>1386</v>
      </c>
      <c r="AN127" s="338" t="s">
        <v>332</v>
      </c>
    </row>
    <row r="128" spans="3:40" x14ac:dyDescent="0.3">
      <c r="K128" s="350" t="s">
        <v>1376</v>
      </c>
      <c r="L128" s="412" t="s">
        <v>1374</v>
      </c>
      <c r="AM128" s="337" t="s">
        <v>1389</v>
      </c>
      <c r="AN128" s="338" t="s">
        <v>332</v>
      </c>
    </row>
    <row r="129" spans="11:40" x14ac:dyDescent="0.3">
      <c r="K129" s="350" t="s">
        <v>1378</v>
      </c>
      <c r="L129" s="412" t="s">
        <v>1379</v>
      </c>
      <c r="AM129" s="337" t="s">
        <v>1392</v>
      </c>
      <c r="AN129" s="338" t="s">
        <v>332</v>
      </c>
    </row>
    <row r="130" spans="11:40" x14ac:dyDescent="0.3">
      <c r="K130" s="366" t="s">
        <v>1381</v>
      </c>
      <c r="L130" s="412" t="s">
        <v>1382</v>
      </c>
      <c r="AM130" s="337" t="s">
        <v>1395</v>
      </c>
      <c r="AN130" s="338" t="s">
        <v>24</v>
      </c>
    </row>
    <row r="131" spans="11:40" x14ac:dyDescent="0.3">
      <c r="K131" s="366" t="s">
        <v>1384</v>
      </c>
      <c r="L131" s="412" t="s">
        <v>1385</v>
      </c>
      <c r="AM131" s="337" t="s">
        <v>1398</v>
      </c>
      <c r="AN131" s="338" t="s">
        <v>332</v>
      </c>
    </row>
    <row r="132" spans="11:40" x14ac:dyDescent="0.3">
      <c r="K132" s="350" t="s">
        <v>1387</v>
      </c>
      <c r="L132" s="412" t="s">
        <v>1388</v>
      </c>
      <c r="AM132" s="337" t="s">
        <v>1401</v>
      </c>
      <c r="AN132" s="338" t="s">
        <v>332</v>
      </c>
    </row>
    <row r="133" spans="11:40" x14ac:dyDescent="0.3">
      <c r="K133" s="350" t="s">
        <v>1390</v>
      </c>
      <c r="L133" s="412" t="s">
        <v>1391</v>
      </c>
      <c r="AM133" s="337" t="s">
        <v>1404</v>
      </c>
      <c r="AN133" s="338" t="s">
        <v>332</v>
      </c>
    </row>
    <row r="134" spans="11:40" x14ac:dyDescent="0.3">
      <c r="K134" s="366" t="s">
        <v>1393</v>
      </c>
      <c r="L134" s="412" t="s">
        <v>1394</v>
      </c>
      <c r="AM134" s="337" t="s">
        <v>1406</v>
      </c>
      <c r="AN134" s="338" t="s">
        <v>332</v>
      </c>
    </row>
    <row r="135" spans="11:40" x14ac:dyDescent="0.3">
      <c r="K135" s="350" t="s">
        <v>1396</v>
      </c>
      <c r="L135" s="412" t="s">
        <v>1397</v>
      </c>
      <c r="AM135" s="337" t="s">
        <v>1408</v>
      </c>
      <c r="AN135" s="338" t="s">
        <v>332</v>
      </c>
    </row>
    <row r="136" spans="11:40" x14ac:dyDescent="0.3">
      <c r="K136" s="350" t="s">
        <v>1399</v>
      </c>
      <c r="L136" s="412" t="s">
        <v>1400</v>
      </c>
      <c r="AM136" s="337" t="s">
        <v>1411</v>
      </c>
      <c r="AN136" s="338" t="s">
        <v>332</v>
      </c>
    </row>
    <row r="137" spans="11:40" x14ac:dyDescent="0.3">
      <c r="K137" s="366" t="s">
        <v>1402</v>
      </c>
      <c r="L137" s="412" t="s">
        <v>1403</v>
      </c>
      <c r="AM137" s="337" t="s">
        <v>1414</v>
      </c>
      <c r="AN137" s="338" t="s">
        <v>332</v>
      </c>
    </row>
    <row r="138" spans="11:40" x14ac:dyDescent="0.3">
      <c r="K138" s="350" t="s">
        <v>1405</v>
      </c>
      <c r="L138" s="412" t="s">
        <v>1144</v>
      </c>
      <c r="AM138" s="337" t="s">
        <v>1416</v>
      </c>
      <c r="AN138" s="338" t="s">
        <v>332</v>
      </c>
    </row>
    <row r="139" spans="11:40" x14ac:dyDescent="0.3">
      <c r="K139" s="350" t="s">
        <v>1407</v>
      </c>
      <c r="L139" s="412" t="s">
        <v>1144</v>
      </c>
      <c r="AM139" s="337" t="s">
        <v>1419</v>
      </c>
      <c r="AN139" s="338" t="s">
        <v>332</v>
      </c>
    </row>
    <row r="140" spans="11:40" x14ac:dyDescent="0.3">
      <c r="K140" s="350" t="s">
        <v>1409</v>
      </c>
      <c r="L140" s="412" t="s">
        <v>1410</v>
      </c>
      <c r="AM140" s="337" t="s">
        <v>1421</v>
      </c>
      <c r="AN140" s="338" t="s">
        <v>332</v>
      </c>
    </row>
    <row r="141" spans="11:40" x14ac:dyDescent="0.3">
      <c r="K141" s="350" t="s">
        <v>1412</v>
      </c>
      <c r="L141" s="412" t="s">
        <v>1413</v>
      </c>
      <c r="AM141" s="337" t="s">
        <v>1423</v>
      </c>
      <c r="AN141" s="338" t="s">
        <v>332</v>
      </c>
    </row>
    <row r="142" spans="11:40" x14ac:dyDescent="0.3">
      <c r="K142" s="350" t="s">
        <v>1415</v>
      </c>
      <c r="L142" s="412" t="s">
        <v>1413</v>
      </c>
      <c r="AM142" s="337" t="s">
        <v>1426</v>
      </c>
      <c r="AN142" s="338" t="s">
        <v>332</v>
      </c>
    </row>
    <row r="143" spans="11:40" x14ac:dyDescent="0.3">
      <c r="K143" s="350" t="s">
        <v>1417</v>
      </c>
      <c r="L143" s="412" t="s">
        <v>1418</v>
      </c>
      <c r="AM143" s="337" t="s">
        <v>1428</v>
      </c>
      <c r="AN143" s="338" t="s">
        <v>332</v>
      </c>
    </row>
    <row r="144" spans="11:40" x14ac:dyDescent="0.3">
      <c r="K144" s="350" t="s">
        <v>1420</v>
      </c>
      <c r="L144" s="412" t="s">
        <v>1418</v>
      </c>
      <c r="AM144" s="337" t="s">
        <v>1431</v>
      </c>
      <c r="AN144" s="338" t="s">
        <v>332</v>
      </c>
    </row>
    <row r="145" spans="11:40" x14ac:dyDescent="0.3">
      <c r="K145" s="350" t="s">
        <v>1422</v>
      </c>
      <c r="L145" s="412" t="s">
        <v>1418</v>
      </c>
      <c r="AM145" s="337" t="s">
        <v>1433</v>
      </c>
      <c r="AN145" s="338" t="s">
        <v>332</v>
      </c>
    </row>
    <row r="146" spans="11:40" x14ac:dyDescent="0.3">
      <c r="K146" s="350" t="s">
        <v>1424</v>
      </c>
      <c r="L146" s="412" t="s">
        <v>1425</v>
      </c>
      <c r="AM146" s="337" t="s">
        <v>1436</v>
      </c>
      <c r="AN146" s="338" t="s">
        <v>332</v>
      </c>
    </row>
    <row r="147" spans="11:40" x14ac:dyDescent="0.3">
      <c r="K147" s="350" t="s">
        <v>1427</v>
      </c>
      <c r="L147" s="412" t="s">
        <v>1418</v>
      </c>
      <c r="AM147" s="337" t="s">
        <v>1438</v>
      </c>
      <c r="AN147" s="338" t="s">
        <v>332</v>
      </c>
    </row>
    <row r="148" spans="11:40" x14ac:dyDescent="0.3">
      <c r="K148" s="350" t="s">
        <v>1429</v>
      </c>
      <c r="L148" s="412" t="s">
        <v>1430</v>
      </c>
      <c r="AM148" s="337" t="s">
        <v>1440</v>
      </c>
      <c r="AN148" s="338" t="s">
        <v>332</v>
      </c>
    </row>
    <row r="149" spans="11:40" x14ac:dyDescent="0.3">
      <c r="K149" s="350" t="s">
        <v>1432</v>
      </c>
      <c r="L149" s="412" t="s">
        <v>1418</v>
      </c>
      <c r="AM149" s="337" t="s">
        <v>1442</v>
      </c>
      <c r="AN149" s="338" t="s">
        <v>332</v>
      </c>
    </row>
    <row r="150" spans="11:40" x14ac:dyDescent="0.3">
      <c r="K150" s="350" t="s">
        <v>1434</v>
      </c>
      <c r="L150" s="412" t="s">
        <v>1435</v>
      </c>
      <c r="AM150" s="337" t="s">
        <v>1445</v>
      </c>
      <c r="AN150" s="338" t="s">
        <v>332</v>
      </c>
    </row>
    <row r="151" spans="11:40" x14ac:dyDescent="0.3">
      <c r="K151" s="350" t="s">
        <v>1437</v>
      </c>
      <c r="L151" s="412" t="s">
        <v>1418</v>
      </c>
      <c r="AM151" s="337" t="s">
        <v>1447</v>
      </c>
      <c r="AN151" s="338" t="s">
        <v>335</v>
      </c>
    </row>
    <row r="152" spans="11:40" x14ac:dyDescent="0.3">
      <c r="K152" s="350" t="s">
        <v>1439</v>
      </c>
      <c r="L152" s="412" t="s">
        <v>1418</v>
      </c>
      <c r="AM152" s="337" t="s">
        <v>1449</v>
      </c>
      <c r="AN152" s="338" t="s">
        <v>498</v>
      </c>
    </row>
    <row r="153" spans="11:40" x14ac:dyDescent="0.3">
      <c r="K153" s="350" t="s">
        <v>1441</v>
      </c>
      <c r="L153" s="412" t="s">
        <v>1418</v>
      </c>
      <c r="AM153" s="337" t="s">
        <v>1452</v>
      </c>
      <c r="AN153" s="338" t="s">
        <v>502</v>
      </c>
    </row>
    <row r="154" spans="11:40" x14ac:dyDescent="0.3">
      <c r="K154" s="350" t="s">
        <v>1443</v>
      </c>
      <c r="L154" s="412" t="s">
        <v>1444</v>
      </c>
      <c r="AM154" s="337" t="s">
        <v>1455</v>
      </c>
      <c r="AN154" s="338" t="s">
        <v>24</v>
      </c>
    </row>
    <row r="155" spans="11:40" x14ac:dyDescent="0.3">
      <c r="K155" s="350" t="s">
        <v>1446</v>
      </c>
      <c r="L155" s="412" t="s">
        <v>1418</v>
      </c>
      <c r="AM155" s="337" t="s">
        <v>1457</v>
      </c>
      <c r="AN155" s="338" t="s">
        <v>332</v>
      </c>
    </row>
    <row r="156" spans="11:40" x14ac:dyDescent="0.3">
      <c r="K156" s="350" t="s">
        <v>1448</v>
      </c>
      <c r="L156" s="412" t="s">
        <v>1418</v>
      </c>
      <c r="AM156" s="337" t="s">
        <v>1459</v>
      </c>
      <c r="AN156" s="338" t="s">
        <v>332</v>
      </c>
    </row>
    <row r="157" spans="11:40" x14ac:dyDescent="0.3">
      <c r="K157" s="350" t="s">
        <v>1450</v>
      </c>
      <c r="L157" s="412" t="s">
        <v>1451</v>
      </c>
      <c r="AM157" s="337" t="s">
        <v>1462</v>
      </c>
      <c r="AN157" s="338" t="s">
        <v>332</v>
      </c>
    </row>
    <row r="158" spans="11:40" x14ac:dyDescent="0.3">
      <c r="K158" s="350" t="s">
        <v>1453</v>
      </c>
      <c r="L158" s="412" t="s">
        <v>1454</v>
      </c>
      <c r="AM158" s="337" t="s">
        <v>1465</v>
      </c>
      <c r="AN158" s="338" t="s">
        <v>498</v>
      </c>
    </row>
    <row r="159" spans="11:40" x14ac:dyDescent="0.3">
      <c r="K159" s="350" t="s">
        <v>1456</v>
      </c>
      <c r="L159" s="412" t="s">
        <v>1454</v>
      </c>
      <c r="AM159" s="337" t="s">
        <v>1467</v>
      </c>
      <c r="AN159" s="338" t="s">
        <v>500</v>
      </c>
    </row>
    <row r="160" spans="11:40" x14ac:dyDescent="0.3">
      <c r="K160" s="350" t="s">
        <v>1458</v>
      </c>
      <c r="L160" s="412" t="s">
        <v>1454</v>
      </c>
      <c r="AM160" s="337" t="s">
        <v>1469</v>
      </c>
      <c r="AN160" s="338" t="s">
        <v>499</v>
      </c>
    </row>
    <row r="161" spans="11:40" x14ac:dyDescent="0.3">
      <c r="K161" s="366" t="s">
        <v>1460</v>
      </c>
      <c r="L161" s="412" t="s">
        <v>1461</v>
      </c>
      <c r="AM161" s="337" t="s">
        <v>1471</v>
      </c>
      <c r="AN161" s="338" t="s">
        <v>332</v>
      </c>
    </row>
    <row r="162" spans="11:40" x14ac:dyDescent="0.3">
      <c r="K162" s="350" t="s">
        <v>1463</v>
      </c>
      <c r="L162" s="412" t="s">
        <v>1464</v>
      </c>
      <c r="AM162" s="337" t="s">
        <v>1473</v>
      </c>
      <c r="AN162" s="338" t="s">
        <v>332</v>
      </c>
    </row>
    <row r="163" spans="11:40" x14ac:dyDescent="0.3">
      <c r="K163" s="350" t="s">
        <v>1466</v>
      </c>
      <c r="L163" s="412" t="s">
        <v>1464</v>
      </c>
      <c r="AM163" s="337" t="s">
        <v>1475</v>
      </c>
      <c r="AN163" s="338" t="s">
        <v>332</v>
      </c>
    </row>
    <row r="164" spans="11:40" x14ac:dyDescent="0.3">
      <c r="K164" s="350" t="s">
        <v>1468</v>
      </c>
      <c r="L164" s="412" t="s">
        <v>1464</v>
      </c>
      <c r="AM164" s="337" t="s">
        <v>1478</v>
      </c>
      <c r="AN164" s="338" t="s">
        <v>332</v>
      </c>
    </row>
    <row r="165" spans="11:40" x14ac:dyDescent="0.3">
      <c r="K165" s="350" t="s">
        <v>1470</v>
      </c>
      <c r="L165" s="412" t="s">
        <v>1464</v>
      </c>
      <c r="AM165" s="337" t="s">
        <v>1480</v>
      </c>
      <c r="AN165" s="338" t="s">
        <v>503</v>
      </c>
    </row>
    <row r="166" spans="11:40" x14ac:dyDescent="0.3">
      <c r="K166" s="350" t="s">
        <v>1472</v>
      </c>
      <c r="L166" s="412" t="s">
        <v>1464</v>
      </c>
      <c r="AM166" s="337" t="s">
        <v>1482</v>
      </c>
      <c r="AN166" s="338" t="s">
        <v>499</v>
      </c>
    </row>
    <row r="167" spans="11:40" x14ac:dyDescent="0.3">
      <c r="K167" s="350" t="s">
        <v>1474</v>
      </c>
      <c r="L167" s="412" t="s">
        <v>1464</v>
      </c>
      <c r="AM167" s="337" t="s">
        <v>1484</v>
      </c>
      <c r="AN167" s="338" t="s">
        <v>332</v>
      </c>
    </row>
    <row r="168" spans="11:40" x14ac:dyDescent="0.3">
      <c r="K168" s="350" t="s">
        <v>1476</v>
      </c>
      <c r="L168" s="412" t="s">
        <v>1477</v>
      </c>
      <c r="AM168" s="337" t="s">
        <v>1486</v>
      </c>
      <c r="AN168" s="338" t="s">
        <v>332</v>
      </c>
    </row>
    <row r="169" spans="11:40" x14ac:dyDescent="0.3">
      <c r="K169" s="350" t="s">
        <v>1479</v>
      </c>
      <c r="L169" s="412" t="s">
        <v>1477</v>
      </c>
      <c r="AM169" s="337" t="s">
        <v>1488</v>
      </c>
      <c r="AN169" s="338" t="s">
        <v>332</v>
      </c>
    </row>
    <row r="170" spans="11:40" x14ac:dyDescent="0.3">
      <c r="K170" s="350" t="s">
        <v>1481</v>
      </c>
      <c r="L170" s="412" t="s">
        <v>1477</v>
      </c>
      <c r="AM170" s="337" t="s">
        <v>1490</v>
      </c>
      <c r="AN170" s="338" t="s">
        <v>332</v>
      </c>
    </row>
    <row r="171" spans="11:40" x14ac:dyDescent="0.3">
      <c r="K171" s="350" t="s">
        <v>1483</v>
      </c>
      <c r="L171" s="412" t="s">
        <v>1477</v>
      </c>
      <c r="AM171" s="337" t="s">
        <v>1492</v>
      </c>
      <c r="AN171" s="338" t="s">
        <v>332</v>
      </c>
    </row>
    <row r="172" spans="11:40" x14ac:dyDescent="0.3">
      <c r="K172" s="350" t="s">
        <v>1485</v>
      </c>
      <c r="L172" s="412" t="s">
        <v>1477</v>
      </c>
      <c r="AM172" s="337" t="s">
        <v>1494</v>
      </c>
      <c r="AN172" s="338" t="s">
        <v>24</v>
      </c>
    </row>
    <row r="173" spans="11:40" x14ac:dyDescent="0.3">
      <c r="K173" s="350" t="s">
        <v>1487</v>
      </c>
      <c r="L173" s="412" t="s">
        <v>1477</v>
      </c>
      <c r="AM173" s="337" t="s">
        <v>1496</v>
      </c>
      <c r="AN173" s="338" t="s">
        <v>332</v>
      </c>
    </row>
    <row r="174" spans="11:40" x14ac:dyDescent="0.3">
      <c r="K174" s="350" t="s">
        <v>1489</v>
      </c>
      <c r="L174" s="412" t="s">
        <v>1477</v>
      </c>
      <c r="AM174" s="337" t="s">
        <v>1499</v>
      </c>
      <c r="AN174" s="338" t="s">
        <v>332</v>
      </c>
    </row>
    <row r="175" spans="11:40" x14ac:dyDescent="0.3">
      <c r="K175" s="386" t="s">
        <v>1491</v>
      </c>
      <c r="L175" s="412" t="s">
        <v>1477</v>
      </c>
      <c r="AM175" s="337" t="s">
        <v>1502</v>
      </c>
      <c r="AN175" s="338" t="s">
        <v>332</v>
      </c>
    </row>
    <row r="176" spans="11:40" x14ac:dyDescent="0.3">
      <c r="K176" s="366" t="s">
        <v>1493</v>
      </c>
      <c r="L176" s="412" t="s">
        <v>1477</v>
      </c>
      <c r="AM176" s="337" t="s">
        <v>1505</v>
      </c>
      <c r="AN176" s="338" t="s">
        <v>332</v>
      </c>
    </row>
    <row r="177" spans="11:40" x14ac:dyDescent="0.3">
      <c r="K177" s="366" t="s">
        <v>1495</v>
      </c>
      <c r="L177" s="412" t="s">
        <v>1477</v>
      </c>
      <c r="AM177" s="337" t="s">
        <v>1508</v>
      </c>
      <c r="AN177" s="338" t="s">
        <v>332</v>
      </c>
    </row>
    <row r="178" spans="11:40" x14ac:dyDescent="0.3">
      <c r="K178" s="350" t="s">
        <v>1497</v>
      </c>
      <c r="L178" s="412" t="s">
        <v>1498</v>
      </c>
      <c r="AM178" s="337" t="s">
        <v>1510</v>
      </c>
      <c r="AN178" s="338" t="s">
        <v>332</v>
      </c>
    </row>
    <row r="179" spans="11:40" x14ac:dyDescent="0.3">
      <c r="K179" s="350" t="s">
        <v>1500</v>
      </c>
      <c r="L179" s="412" t="s">
        <v>1501</v>
      </c>
      <c r="AM179" s="337" t="s">
        <v>1512</v>
      </c>
      <c r="AN179" s="338" t="s">
        <v>332</v>
      </c>
    </row>
    <row r="180" spans="11:40" x14ac:dyDescent="0.3">
      <c r="K180" s="350" t="s">
        <v>1503</v>
      </c>
      <c r="L180" s="412" t="s">
        <v>1504</v>
      </c>
      <c r="AM180" s="337" t="s">
        <v>1514</v>
      </c>
      <c r="AN180" s="338" t="s">
        <v>332</v>
      </c>
    </row>
    <row r="181" spans="11:40" x14ac:dyDescent="0.3">
      <c r="K181" s="350" t="s">
        <v>1506</v>
      </c>
      <c r="L181" s="412" t="s">
        <v>1507</v>
      </c>
      <c r="AM181" s="337" t="s">
        <v>1517</v>
      </c>
      <c r="AN181" s="338" t="s">
        <v>332</v>
      </c>
    </row>
    <row r="182" spans="11:40" x14ac:dyDescent="0.3">
      <c r="K182" s="350" t="s">
        <v>1509</v>
      </c>
      <c r="L182" s="412" t="s">
        <v>1507</v>
      </c>
      <c r="AM182" s="337" t="s">
        <v>1520</v>
      </c>
      <c r="AN182" s="338" t="s">
        <v>332</v>
      </c>
    </row>
    <row r="183" spans="11:40" x14ac:dyDescent="0.3">
      <c r="K183" s="350" t="s">
        <v>1511</v>
      </c>
      <c r="L183" s="412" t="s">
        <v>1108</v>
      </c>
      <c r="AM183" s="337" t="s">
        <v>1523</v>
      </c>
      <c r="AN183" s="338" t="s">
        <v>332</v>
      </c>
    </row>
    <row r="184" spans="11:40" x14ac:dyDescent="0.3">
      <c r="K184" s="350" t="s">
        <v>1513</v>
      </c>
      <c r="L184" s="412" t="s">
        <v>1126</v>
      </c>
      <c r="AM184" s="337" t="s">
        <v>1526</v>
      </c>
      <c r="AN184" s="338" t="s">
        <v>332</v>
      </c>
    </row>
    <row r="185" spans="11:40" x14ac:dyDescent="0.3">
      <c r="K185" s="350" t="s">
        <v>1515</v>
      </c>
      <c r="L185" s="412" t="s">
        <v>1516</v>
      </c>
      <c r="AM185" s="337" t="s">
        <v>1529</v>
      </c>
      <c r="AN185" s="338" t="s">
        <v>332</v>
      </c>
    </row>
    <row r="186" spans="11:40" x14ac:dyDescent="0.3">
      <c r="K186" s="350" t="s">
        <v>1518</v>
      </c>
      <c r="L186" s="412" t="s">
        <v>1519</v>
      </c>
      <c r="AM186" s="337" t="s">
        <v>1531</v>
      </c>
      <c r="AN186" s="338" t="s">
        <v>332</v>
      </c>
    </row>
    <row r="187" spans="11:40" x14ac:dyDescent="0.3">
      <c r="K187" s="350" t="s">
        <v>1521</v>
      </c>
      <c r="L187" s="412" t="s">
        <v>1522</v>
      </c>
      <c r="AM187" s="337" t="s">
        <v>1534</v>
      </c>
      <c r="AN187" s="338" t="s">
        <v>332</v>
      </c>
    </row>
    <row r="188" spans="11:40" x14ac:dyDescent="0.3">
      <c r="K188" s="350" t="s">
        <v>1524</v>
      </c>
      <c r="L188" s="412" t="s">
        <v>1525</v>
      </c>
      <c r="AM188" s="337" t="s">
        <v>1537</v>
      </c>
      <c r="AN188" s="338" t="s">
        <v>332</v>
      </c>
    </row>
    <row r="189" spans="11:40" x14ac:dyDescent="0.3">
      <c r="K189" s="350" t="s">
        <v>1527</v>
      </c>
      <c r="L189" s="412" t="s">
        <v>1528</v>
      </c>
      <c r="AM189" s="337" t="s">
        <v>1540</v>
      </c>
      <c r="AN189" s="338" t="s">
        <v>332</v>
      </c>
    </row>
    <row r="190" spans="11:40" x14ac:dyDescent="0.3">
      <c r="K190" s="350" t="s">
        <v>1530</v>
      </c>
      <c r="L190" s="412" t="s">
        <v>1519</v>
      </c>
      <c r="AM190" s="337" t="s">
        <v>1543</v>
      </c>
      <c r="AN190" s="338" t="s">
        <v>332</v>
      </c>
    </row>
    <row r="191" spans="11:40" x14ac:dyDescent="0.3">
      <c r="K191" s="350" t="s">
        <v>1532</v>
      </c>
      <c r="L191" s="412" t="s">
        <v>1533</v>
      </c>
      <c r="AM191" s="337" t="s">
        <v>281</v>
      </c>
      <c r="AN191" s="338" t="s">
        <v>332</v>
      </c>
    </row>
    <row r="192" spans="11:40" x14ac:dyDescent="0.3">
      <c r="K192" s="350" t="s">
        <v>1535</v>
      </c>
      <c r="L192" s="412" t="s">
        <v>1536</v>
      </c>
      <c r="AM192" s="337" t="s">
        <v>282</v>
      </c>
      <c r="AN192" s="338" t="s">
        <v>332</v>
      </c>
    </row>
    <row r="193" spans="11:40" x14ac:dyDescent="0.3">
      <c r="K193" s="350" t="s">
        <v>1538</v>
      </c>
      <c r="L193" s="412" t="s">
        <v>1539</v>
      </c>
      <c r="AM193" s="337" t="s">
        <v>283</v>
      </c>
      <c r="AN193" s="338" t="s">
        <v>332</v>
      </c>
    </row>
    <row r="194" spans="11:40" x14ac:dyDescent="0.3">
      <c r="K194" s="350" t="s">
        <v>1541</v>
      </c>
      <c r="L194" s="412" t="s">
        <v>1542</v>
      </c>
      <c r="AM194" s="337" t="s">
        <v>284</v>
      </c>
      <c r="AN194" s="338" t="s">
        <v>332</v>
      </c>
    </row>
    <row r="195" spans="11:40" x14ac:dyDescent="0.3">
      <c r="K195" s="350" t="s">
        <v>1544</v>
      </c>
      <c r="L195" s="412" t="s">
        <v>1545</v>
      </c>
      <c r="AM195" s="337" t="s">
        <v>285</v>
      </c>
      <c r="AN195" s="338" t="s">
        <v>332</v>
      </c>
    </row>
    <row r="196" spans="11:40" x14ac:dyDescent="0.3">
      <c r="K196" s="350" t="s">
        <v>1546</v>
      </c>
      <c r="L196" s="412" t="s">
        <v>1547</v>
      </c>
      <c r="AM196" s="337" t="s">
        <v>286</v>
      </c>
      <c r="AN196" s="338" t="s">
        <v>332</v>
      </c>
    </row>
    <row r="197" spans="11:40" x14ac:dyDescent="0.3">
      <c r="K197" s="350" t="s">
        <v>1548</v>
      </c>
      <c r="L197" s="412" t="s">
        <v>1547</v>
      </c>
      <c r="AM197" s="337" t="s">
        <v>287</v>
      </c>
      <c r="AN197" s="338" t="s">
        <v>332</v>
      </c>
    </row>
    <row r="198" spans="11:40" x14ac:dyDescent="0.3">
      <c r="K198" s="350" t="s">
        <v>1549</v>
      </c>
      <c r="L198" s="412" t="s">
        <v>1547</v>
      </c>
      <c r="AM198" s="337" t="s">
        <v>288</v>
      </c>
      <c r="AN198" s="338" t="s">
        <v>332</v>
      </c>
    </row>
    <row r="199" spans="11:40" x14ac:dyDescent="0.3">
      <c r="K199" s="350" t="s">
        <v>1550</v>
      </c>
      <c r="L199" s="412" t="s">
        <v>1547</v>
      </c>
      <c r="AM199" s="337" t="s">
        <v>289</v>
      </c>
      <c r="AN199" s="338" t="s">
        <v>332</v>
      </c>
    </row>
    <row r="200" spans="11:40" x14ac:dyDescent="0.3">
      <c r="K200" s="350" t="s">
        <v>1551</v>
      </c>
      <c r="L200" s="412" t="s">
        <v>1547</v>
      </c>
      <c r="AM200" s="337" t="s">
        <v>355</v>
      </c>
      <c r="AN200" s="338" t="s">
        <v>334</v>
      </c>
    </row>
    <row r="201" spans="11:40" x14ac:dyDescent="0.3">
      <c r="K201" s="350" t="s">
        <v>1552</v>
      </c>
      <c r="L201" s="412" t="s">
        <v>1145</v>
      </c>
      <c r="AM201" s="337" t="s">
        <v>356</v>
      </c>
      <c r="AN201" s="338" t="s">
        <v>503</v>
      </c>
    </row>
    <row r="202" spans="11:40" x14ac:dyDescent="0.3">
      <c r="K202" s="350" t="s">
        <v>717</v>
      </c>
      <c r="L202" s="412" t="s">
        <v>1145</v>
      </c>
      <c r="AM202" s="337" t="s">
        <v>357</v>
      </c>
      <c r="AN202" s="338" t="s">
        <v>24</v>
      </c>
    </row>
    <row r="203" spans="11:40" x14ac:dyDescent="0.3">
      <c r="K203" s="366" t="s">
        <v>1074</v>
      </c>
      <c r="L203" s="412" t="s">
        <v>1146</v>
      </c>
      <c r="AM203" s="337" t="s">
        <v>358</v>
      </c>
      <c r="AN203" s="338" t="s">
        <v>332</v>
      </c>
    </row>
    <row r="204" spans="11:40" x14ac:dyDescent="0.3">
      <c r="K204" s="350" t="s">
        <v>1553</v>
      </c>
      <c r="L204" s="412" t="s">
        <v>1147</v>
      </c>
      <c r="AM204" s="337" t="s">
        <v>359</v>
      </c>
      <c r="AN204" s="338" t="s">
        <v>332</v>
      </c>
    </row>
    <row r="205" spans="11:40" x14ac:dyDescent="0.3">
      <c r="K205" s="350" t="s">
        <v>1554</v>
      </c>
      <c r="L205" s="412" t="s">
        <v>1148</v>
      </c>
      <c r="AM205" s="337" t="s">
        <v>360</v>
      </c>
      <c r="AN205" s="338" t="s">
        <v>332</v>
      </c>
    </row>
    <row r="206" spans="11:40" x14ac:dyDescent="0.3">
      <c r="K206" s="350" t="s">
        <v>1555</v>
      </c>
      <c r="L206" s="412" t="s">
        <v>1148</v>
      </c>
      <c r="AM206" s="337" t="s">
        <v>361</v>
      </c>
      <c r="AN206" s="338" t="s">
        <v>332</v>
      </c>
    </row>
    <row r="207" spans="11:40" x14ac:dyDescent="0.3">
      <c r="K207" s="350" t="s">
        <v>1556</v>
      </c>
      <c r="L207" s="412" t="s">
        <v>1148</v>
      </c>
      <c r="AM207" s="337" t="s">
        <v>362</v>
      </c>
      <c r="AN207" s="338" t="s">
        <v>502</v>
      </c>
    </row>
    <row r="208" spans="11:40" x14ac:dyDescent="0.3">
      <c r="K208" s="350" t="s">
        <v>1557</v>
      </c>
      <c r="L208" s="412" t="s">
        <v>1148</v>
      </c>
      <c r="AM208" s="337" t="s">
        <v>363</v>
      </c>
      <c r="AN208" s="338" t="s">
        <v>499</v>
      </c>
    </row>
    <row r="209" spans="11:40" x14ac:dyDescent="0.3">
      <c r="K209" s="366" t="s">
        <v>1075</v>
      </c>
      <c r="L209" s="412" t="s">
        <v>1149</v>
      </c>
      <c r="AM209" s="337" t="s">
        <v>364</v>
      </c>
      <c r="AN209" s="338" t="s">
        <v>332</v>
      </c>
    </row>
    <row r="210" spans="11:40" x14ac:dyDescent="0.3">
      <c r="K210" s="350" t="s">
        <v>1558</v>
      </c>
      <c r="L210" s="412" t="s">
        <v>1150</v>
      </c>
      <c r="AM210" s="337" t="s">
        <v>365</v>
      </c>
      <c r="AN210" s="338" t="s">
        <v>332</v>
      </c>
    </row>
    <row r="211" spans="11:40" x14ac:dyDescent="0.3">
      <c r="K211" s="350" t="s">
        <v>1559</v>
      </c>
      <c r="L211" s="412" t="s">
        <v>1151</v>
      </c>
      <c r="AM211" s="337" t="s">
        <v>366</v>
      </c>
      <c r="AN211" s="338" t="s">
        <v>332</v>
      </c>
    </row>
    <row r="212" spans="11:40" x14ac:dyDescent="0.3">
      <c r="K212" s="350" t="s">
        <v>1560</v>
      </c>
      <c r="L212" s="412" t="s">
        <v>1152</v>
      </c>
      <c r="AM212" s="337" t="s">
        <v>367</v>
      </c>
      <c r="AN212" s="338" t="s">
        <v>332</v>
      </c>
    </row>
    <row r="213" spans="11:40" x14ac:dyDescent="0.3">
      <c r="K213" s="350" t="s">
        <v>1561</v>
      </c>
      <c r="L213" s="412" t="s">
        <v>1153</v>
      </c>
      <c r="AM213" s="337" t="s">
        <v>368</v>
      </c>
      <c r="AN213" s="338" t="s">
        <v>332</v>
      </c>
    </row>
    <row r="214" spans="11:40" x14ac:dyDescent="0.3">
      <c r="K214" s="350" t="s">
        <v>1562</v>
      </c>
      <c r="L214" s="412" t="s">
        <v>1153</v>
      </c>
      <c r="AM214" s="337" t="s">
        <v>369</v>
      </c>
      <c r="AN214" s="338" t="s">
        <v>24</v>
      </c>
    </row>
    <row r="215" spans="11:40" x14ac:dyDescent="0.3">
      <c r="K215" s="350" t="s">
        <v>1563</v>
      </c>
      <c r="L215" s="412" t="s">
        <v>1153</v>
      </c>
      <c r="AM215" s="337" t="s">
        <v>370</v>
      </c>
      <c r="AN215" s="338" t="s">
        <v>332</v>
      </c>
    </row>
    <row r="216" spans="11:40" x14ac:dyDescent="0.3">
      <c r="K216" s="350" t="s">
        <v>1564</v>
      </c>
      <c r="L216" s="412" t="s">
        <v>1154</v>
      </c>
      <c r="AM216" s="337" t="s">
        <v>371</v>
      </c>
      <c r="AN216" s="338" t="s">
        <v>332</v>
      </c>
    </row>
    <row r="217" spans="11:40" x14ac:dyDescent="0.3">
      <c r="K217" s="350" t="s">
        <v>1565</v>
      </c>
      <c r="L217" s="412" t="s">
        <v>1154</v>
      </c>
      <c r="AM217" s="337" t="s">
        <v>372</v>
      </c>
      <c r="AN217" s="338" t="s">
        <v>332</v>
      </c>
    </row>
    <row r="218" spans="11:40" x14ac:dyDescent="0.3">
      <c r="K218" s="350" t="s">
        <v>32</v>
      </c>
      <c r="L218" s="412" t="s">
        <v>1154</v>
      </c>
      <c r="AM218" s="337" t="s">
        <v>373</v>
      </c>
      <c r="AN218" s="338" t="s">
        <v>332</v>
      </c>
    </row>
    <row r="219" spans="11:40" x14ac:dyDescent="0.3">
      <c r="K219" s="350" t="s">
        <v>1566</v>
      </c>
      <c r="L219" s="412" t="s">
        <v>1154</v>
      </c>
      <c r="AM219" s="337" t="s">
        <v>374</v>
      </c>
      <c r="AN219" s="338" t="s">
        <v>332</v>
      </c>
    </row>
    <row r="220" spans="11:40" x14ac:dyDescent="0.3">
      <c r="K220" s="350" t="s">
        <v>1567</v>
      </c>
      <c r="L220" s="412" t="s">
        <v>1154</v>
      </c>
      <c r="AM220" s="337" t="s">
        <v>375</v>
      </c>
      <c r="AN220" s="338" t="s">
        <v>332</v>
      </c>
    </row>
    <row r="221" spans="11:40" x14ac:dyDescent="0.3">
      <c r="K221" s="350" t="s">
        <v>1568</v>
      </c>
      <c r="L221" s="412" t="s">
        <v>1155</v>
      </c>
      <c r="AM221" s="337" t="s">
        <v>376</v>
      </c>
      <c r="AN221" s="338" t="s">
        <v>332</v>
      </c>
    </row>
    <row r="222" spans="11:40" x14ac:dyDescent="0.3">
      <c r="K222" s="350" t="s">
        <v>1569</v>
      </c>
      <c r="L222" s="412" t="s">
        <v>1156</v>
      </c>
      <c r="AM222" s="337" t="s">
        <v>377</v>
      </c>
      <c r="AN222" s="338" t="s">
        <v>332</v>
      </c>
    </row>
    <row r="223" spans="11:40" x14ac:dyDescent="0.3">
      <c r="K223" s="350" t="s">
        <v>30</v>
      </c>
      <c r="L223" s="412" t="s">
        <v>1157</v>
      </c>
      <c r="AM223" s="337" t="s">
        <v>378</v>
      </c>
      <c r="AN223" s="338" t="s">
        <v>332</v>
      </c>
    </row>
    <row r="224" spans="11:40" x14ac:dyDescent="0.3">
      <c r="K224" s="366" t="s">
        <v>1076</v>
      </c>
      <c r="L224" s="412" t="s">
        <v>1157</v>
      </c>
      <c r="AM224" s="337" t="s">
        <v>379</v>
      </c>
      <c r="AN224" s="338" t="s">
        <v>332</v>
      </c>
    </row>
    <row r="225" spans="11:40" x14ac:dyDescent="0.3">
      <c r="K225" s="350" t="s">
        <v>29</v>
      </c>
      <c r="L225" s="412" t="s">
        <v>1157</v>
      </c>
      <c r="AM225" s="337" t="s">
        <v>380</v>
      </c>
      <c r="AN225" s="338" t="s">
        <v>332</v>
      </c>
    </row>
    <row r="226" spans="11:40" x14ac:dyDescent="0.3">
      <c r="K226" s="366" t="s">
        <v>1077</v>
      </c>
      <c r="L226" s="412" t="s">
        <v>1157</v>
      </c>
      <c r="AM226" s="337" t="s">
        <v>381</v>
      </c>
      <c r="AN226" s="338" t="s">
        <v>332</v>
      </c>
    </row>
    <row r="227" spans="11:40" x14ac:dyDescent="0.3">
      <c r="K227" s="366" t="s">
        <v>1078</v>
      </c>
      <c r="L227" s="412" t="s">
        <v>1157</v>
      </c>
      <c r="AM227" s="337" t="s">
        <v>382</v>
      </c>
      <c r="AN227" s="338" t="s">
        <v>332</v>
      </c>
    </row>
    <row r="228" spans="11:40" x14ac:dyDescent="0.3">
      <c r="K228" s="350" t="s">
        <v>28</v>
      </c>
      <c r="L228" s="412" t="s">
        <v>1157</v>
      </c>
      <c r="AM228" s="337" t="s">
        <v>290</v>
      </c>
      <c r="AN228" s="338" t="s">
        <v>332</v>
      </c>
    </row>
    <row r="229" spans="11:40" x14ac:dyDescent="0.3">
      <c r="K229" s="350" t="s">
        <v>1570</v>
      </c>
      <c r="L229" s="412" t="s">
        <v>1158</v>
      </c>
      <c r="AM229" s="337" t="s">
        <v>291</v>
      </c>
      <c r="AN229" s="338" t="s">
        <v>332</v>
      </c>
    </row>
    <row r="230" spans="11:40" x14ac:dyDescent="0.3">
      <c r="K230" s="350" t="s">
        <v>1236</v>
      </c>
      <c r="L230" s="412" t="s">
        <v>1158</v>
      </c>
      <c r="AM230" s="337" t="s">
        <v>292</v>
      </c>
      <c r="AN230" s="338" t="s">
        <v>332</v>
      </c>
    </row>
    <row r="231" spans="11:40" x14ac:dyDescent="0.3">
      <c r="K231" s="350" t="s">
        <v>1171</v>
      </c>
      <c r="L231" s="412" t="s">
        <v>1237</v>
      </c>
      <c r="AM231" s="337" t="s">
        <v>293</v>
      </c>
      <c r="AN231" s="338" t="s">
        <v>332</v>
      </c>
    </row>
    <row r="232" spans="11:40" x14ac:dyDescent="0.3">
      <c r="K232" s="350" t="s">
        <v>1571</v>
      </c>
      <c r="L232" s="412" t="s">
        <v>1159</v>
      </c>
      <c r="AM232" s="337" t="s">
        <v>294</v>
      </c>
      <c r="AN232" s="338" t="s">
        <v>332</v>
      </c>
    </row>
    <row r="233" spans="11:40" x14ac:dyDescent="0.3">
      <c r="K233" s="366" t="s">
        <v>1172</v>
      </c>
      <c r="L233" s="412" t="s">
        <v>1159</v>
      </c>
      <c r="AM233" s="337" t="s">
        <v>295</v>
      </c>
      <c r="AN233" s="338" t="s">
        <v>332</v>
      </c>
    </row>
    <row r="234" spans="11:40" x14ac:dyDescent="0.3">
      <c r="K234" s="366" t="s">
        <v>1572</v>
      </c>
      <c r="L234" s="412" t="s">
        <v>1160</v>
      </c>
      <c r="AM234" s="337" t="s">
        <v>296</v>
      </c>
      <c r="AN234" s="338" t="s">
        <v>332</v>
      </c>
    </row>
    <row r="235" spans="11:40" x14ac:dyDescent="0.3">
      <c r="K235" s="388"/>
      <c r="L235" s="475"/>
      <c r="AM235" s="337" t="s">
        <v>297</v>
      </c>
      <c r="AN235" s="338" t="s">
        <v>332</v>
      </c>
    </row>
    <row r="236" spans="11:40" x14ac:dyDescent="0.3">
      <c r="K236" s="388"/>
      <c r="L236" s="475"/>
      <c r="AM236" s="337" t="s">
        <v>298</v>
      </c>
      <c r="AN236" s="338" t="s">
        <v>332</v>
      </c>
    </row>
    <row r="237" spans="11:40" ht="16.2" thickBot="1" x14ac:dyDescent="0.35">
      <c r="K237" s="389"/>
      <c r="L237" s="476"/>
      <c r="AM237" s="337" t="s">
        <v>299</v>
      </c>
      <c r="AN237" s="338" t="s">
        <v>332</v>
      </c>
    </row>
    <row r="238" spans="11:40" ht="16.2" thickBot="1" x14ac:dyDescent="0.35">
      <c r="K238" s="390" t="s">
        <v>1573</v>
      </c>
      <c r="L238" s="401" t="s">
        <v>494</v>
      </c>
      <c r="AM238" s="337" t="s">
        <v>300</v>
      </c>
      <c r="AN238" s="338" t="s">
        <v>332</v>
      </c>
    </row>
    <row r="239" spans="11:40" x14ac:dyDescent="0.3">
      <c r="K239" s="350" t="s">
        <v>996</v>
      </c>
      <c r="L239" s="391" t="s">
        <v>1097</v>
      </c>
      <c r="AM239" s="337" t="s">
        <v>301</v>
      </c>
      <c r="AN239" s="338" t="s">
        <v>332</v>
      </c>
    </row>
    <row r="240" spans="11:40" x14ac:dyDescent="0.3">
      <c r="K240" s="350" t="s">
        <v>68</v>
      </c>
      <c r="L240" s="392" t="s">
        <v>1161</v>
      </c>
      <c r="AM240" s="337" t="s">
        <v>302</v>
      </c>
      <c r="AN240" s="338" t="s">
        <v>332</v>
      </c>
    </row>
    <row r="241" spans="11:40" x14ac:dyDescent="0.3">
      <c r="K241" s="350" t="s">
        <v>722</v>
      </c>
      <c r="L241" s="392" t="s">
        <v>1162</v>
      </c>
      <c r="AM241" s="337" t="s">
        <v>303</v>
      </c>
      <c r="AN241" s="338" t="s">
        <v>332</v>
      </c>
    </row>
    <row r="242" spans="11:40" x14ac:dyDescent="0.3">
      <c r="K242" s="350" t="s">
        <v>707</v>
      </c>
      <c r="L242" s="392" t="s">
        <v>1144</v>
      </c>
      <c r="AM242" s="337" t="s">
        <v>304</v>
      </c>
      <c r="AN242" s="338" t="s">
        <v>332</v>
      </c>
    </row>
    <row r="243" spans="11:40" x14ac:dyDescent="0.3">
      <c r="K243" s="350" t="s">
        <v>33</v>
      </c>
      <c r="L243" s="392" t="s">
        <v>1144</v>
      </c>
      <c r="AM243" s="337" t="s">
        <v>305</v>
      </c>
      <c r="AN243" s="338" t="s">
        <v>332</v>
      </c>
    </row>
    <row r="244" spans="11:40" x14ac:dyDescent="0.3">
      <c r="K244" s="350" t="s">
        <v>31</v>
      </c>
      <c r="L244" s="392" t="s">
        <v>1155</v>
      </c>
      <c r="AM244" s="337" t="s">
        <v>306</v>
      </c>
      <c r="AN244" s="338" t="s">
        <v>332</v>
      </c>
    </row>
    <row r="245" spans="11:40" x14ac:dyDescent="0.3">
      <c r="K245" s="350" t="s">
        <v>27</v>
      </c>
      <c r="L245" s="392" t="s">
        <v>1158</v>
      </c>
      <c r="AM245" s="337" t="s">
        <v>307</v>
      </c>
      <c r="AN245" s="338" t="s">
        <v>332</v>
      </c>
    </row>
    <row r="246" spans="11:40" x14ac:dyDescent="0.3">
      <c r="K246" s="350" t="s">
        <v>1236</v>
      </c>
      <c r="L246" s="392" t="s">
        <v>1158</v>
      </c>
      <c r="AM246" s="337" t="s">
        <v>308</v>
      </c>
      <c r="AN246" s="338" t="s">
        <v>332</v>
      </c>
    </row>
    <row r="247" spans="11:40" x14ac:dyDescent="0.3">
      <c r="K247" s="350" t="s">
        <v>1171</v>
      </c>
      <c r="L247" s="392" t="s">
        <v>1237</v>
      </c>
      <c r="AM247" s="337" t="s">
        <v>309</v>
      </c>
      <c r="AN247" s="338" t="s">
        <v>332</v>
      </c>
    </row>
    <row r="248" spans="11:40" x14ac:dyDescent="0.3">
      <c r="K248" s="393"/>
      <c r="L248" s="394"/>
      <c r="AM248" s="337" t="s">
        <v>310</v>
      </c>
      <c r="AN248" s="338" t="s">
        <v>332</v>
      </c>
    </row>
    <row r="249" spans="11:40" x14ac:dyDescent="0.3">
      <c r="K249" s="393"/>
      <c r="L249" s="394"/>
      <c r="AM249" s="337" t="s">
        <v>383</v>
      </c>
      <c r="AN249" s="338" t="s">
        <v>333</v>
      </c>
    </row>
    <row r="250" spans="11:40" ht="16.2" thickBot="1" x14ac:dyDescent="0.35">
      <c r="K250" s="395"/>
      <c r="L250" s="396"/>
      <c r="AM250" s="337" t="s">
        <v>384</v>
      </c>
      <c r="AN250" s="338" t="s">
        <v>24</v>
      </c>
    </row>
    <row r="251" spans="11:40" x14ac:dyDescent="0.3">
      <c r="L251" s="477"/>
      <c r="AM251" s="337" t="s">
        <v>385</v>
      </c>
      <c r="AN251" s="338" t="s">
        <v>332</v>
      </c>
    </row>
    <row r="252" spans="11:40" x14ac:dyDescent="0.3">
      <c r="L252" s="477"/>
      <c r="AM252" s="337" t="s">
        <v>386</v>
      </c>
      <c r="AN252" s="338" t="s">
        <v>332</v>
      </c>
    </row>
    <row r="253" spans="11:40" x14ac:dyDescent="0.3">
      <c r="L253" s="477"/>
      <c r="AM253" s="337" t="s">
        <v>387</v>
      </c>
      <c r="AN253" s="338" t="s">
        <v>332</v>
      </c>
    </row>
    <row r="254" spans="11:40" x14ac:dyDescent="0.3">
      <c r="L254" s="477"/>
      <c r="AM254" s="337" t="s">
        <v>388</v>
      </c>
      <c r="AN254" s="338" t="s">
        <v>332</v>
      </c>
    </row>
    <row r="255" spans="11:40" x14ac:dyDescent="0.3">
      <c r="L255" s="477"/>
      <c r="AM255" s="337" t="s">
        <v>389</v>
      </c>
      <c r="AN255" s="338" t="s">
        <v>332</v>
      </c>
    </row>
    <row r="256" spans="11:40" x14ac:dyDescent="0.3">
      <c r="L256" s="477"/>
      <c r="AM256" s="337" t="s">
        <v>390</v>
      </c>
      <c r="AN256" s="338" t="s">
        <v>24</v>
      </c>
    </row>
    <row r="257" spans="12:40" x14ac:dyDescent="0.3">
      <c r="L257" s="477"/>
      <c r="AM257" s="337" t="s">
        <v>391</v>
      </c>
      <c r="AN257" s="338" t="s">
        <v>332</v>
      </c>
    </row>
    <row r="258" spans="12:40" x14ac:dyDescent="0.3">
      <c r="L258" s="477"/>
      <c r="AM258" s="337" t="s">
        <v>392</v>
      </c>
      <c r="AN258" s="338" t="s">
        <v>332</v>
      </c>
    </row>
    <row r="259" spans="12:40" x14ac:dyDescent="0.3">
      <c r="L259" s="477"/>
      <c r="AM259" s="337" t="s">
        <v>393</v>
      </c>
      <c r="AN259" s="338" t="s">
        <v>332</v>
      </c>
    </row>
    <row r="260" spans="12:40" x14ac:dyDescent="0.3">
      <c r="L260" s="477"/>
      <c r="AM260" s="337" t="s">
        <v>394</v>
      </c>
      <c r="AN260" s="338" t="s">
        <v>332</v>
      </c>
    </row>
    <row r="261" spans="12:40" x14ac:dyDescent="0.3">
      <c r="L261" s="477"/>
      <c r="AM261" s="337" t="s">
        <v>395</v>
      </c>
      <c r="AN261" s="338" t="s">
        <v>332</v>
      </c>
    </row>
    <row r="262" spans="12:40" x14ac:dyDescent="0.3">
      <c r="L262" s="477"/>
      <c r="AM262" s="337" t="s">
        <v>396</v>
      </c>
      <c r="AN262" s="338" t="s">
        <v>332</v>
      </c>
    </row>
    <row r="263" spans="12:40" x14ac:dyDescent="0.3">
      <c r="L263" s="477"/>
      <c r="AM263" s="337" t="s">
        <v>397</v>
      </c>
      <c r="AN263" s="338" t="s">
        <v>332</v>
      </c>
    </row>
    <row r="264" spans="12:40" x14ac:dyDescent="0.3">
      <c r="L264" s="477"/>
      <c r="AM264" s="337" t="s">
        <v>398</v>
      </c>
      <c r="AN264" s="338" t="s">
        <v>332</v>
      </c>
    </row>
    <row r="265" spans="12:40" x14ac:dyDescent="0.3">
      <c r="L265" s="477"/>
      <c r="AM265" s="337" t="s">
        <v>399</v>
      </c>
      <c r="AN265" s="338" t="s">
        <v>332</v>
      </c>
    </row>
    <row r="266" spans="12:40" x14ac:dyDescent="0.3">
      <c r="L266" s="477"/>
      <c r="AM266" s="337" t="s">
        <v>400</v>
      </c>
      <c r="AN266" s="338" t="s">
        <v>332</v>
      </c>
    </row>
    <row r="267" spans="12:40" x14ac:dyDescent="0.3">
      <c r="L267" s="477"/>
      <c r="AM267" s="337" t="s">
        <v>401</v>
      </c>
      <c r="AN267" s="338" t="s">
        <v>332</v>
      </c>
    </row>
    <row r="268" spans="12:40" x14ac:dyDescent="0.3">
      <c r="L268" s="477"/>
      <c r="AM268" s="337" t="s">
        <v>402</v>
      </c>
      <c r="AN268" s="338" t="s">
        <v>332</v>
      </c>
    </row>
    <row r="269" spans="12:40" x14ac:dyDescent="0.3">
      <c r="L269" s="477"/>
      <c r="AM269" s="337" t="s">
        <v>403</v>
      </c>
      <c r="AN269" s="338" t="s">
        <v>332</v>
      </c>
    </row>
    <row r="270" spans="12:40" x14ac:dyDescent="0.3">
      <c r="L270" s="477"/>
      <c r="AM270" s="337" t="s">
        <v>404</v>
      </c>
      <c r="AN270" s="338" t="s">
        <v>332</v>
      </c>
    </row>
    <row r="271" spans="12:40" x14ac:dyDescent="0.3">
      <c r="L271" s="477"/>
      <c r="AM271" s="337" t="s">
        <v>405</v>
      </c>
      <c r="AN271" s="338" t="s">
        <v>332</v>
      </c>
    </row>
    <row r="272" spans="12:40" x14ac:dyDescent="0.3">
      <c r="L272" s="477"/>
      <c r="AM272" s="337" t="s">
        <v>406</v>
      </c>
      <c r="AN272" s="338" t="s">
        <v>332</v>
      </c>
    </row>
    <row r="273" spans="12:40" x14ac:dyDescent="0.3">
      <c r="L273" s="477"/>
      <c r="AM273" s="337" t="s">
        <v>407</v>
      </c>
      <c r="AN273" s="338" t="s">
        <v>332</v>
      </c>
    </row>
    <row r="274" spans="12:40" x14ac:dyDescent="0.3">
      <c r="L274" s="477"/>
      <c r="AM274" s="337" t="s">
        <v>408</v>
      </c>
      <c r="AN274" s="338" t="s">
        <v>332</v>
      </c>
    </row>
    <row r="275" spans="12:40" x14ac:dyDescent="0.3">
      <c r="L275" s="477"/>
      <c r="AM275" s="337" t="s">
        <v>409</v>
      </c>
      <c r="AN275" s="338" t="s">
        <v>332</v>
      </c>
    </row>
    <row r="276" spans="12:40" x14ac:dyDescent="0.3">
      <c r="L276" s="477"/>
      <c r="AM276" s="337" t="s">
        <v>410</v>
      </c>
      <c r="AN276" s="338" t="s">
        <v>332</v>
      </c>
    </row>
    <row r="277" spans="12:40" x14ac:dyDescent="0.3">
      <c r="L277" s="477"/>
      <c r="AM277" s="337" t="s">
        <v>411</v>
      </c>
      <c r="AN277" s="338" t="s">
        <v>332</v>
      </c>
    </row>
    <row r="278" spans="12:40" x14ac:dyDescent="0.3">
      <c r="L278" s="477"/>
      <c r="AM278" s="337" t="s">
        <v>412</v>
      </c>
      <c r="AN278" s="338" t="s">
        <v>332</v>
      </c>
    </row>
    <row r="279" spans="12:40" x14ac:dyDescent="0.3">
      <c r="L279" s="477"/>
      <c r="AM279" s="337" t="s">
        <v>413</v>
      </c>
      <c r="AN279" s="338" t="s">
        <v>332</v>
      </c>
    </row>
    <row r="280" spans="12:40" x14ac:dyDescent="0.3">
      <c r="L280" s="477"/>
      <c r="AM280" s="337" t="s">
        <v>414</v>
      </c>
      <c r="AN280" s="338" t="s">
        <v>332</v>
      </c>
    </row>
    <row r="281" spans="12:40" x14ac:dyDescent="0.3">
      <c r="L281" s="477"/>
      <c r="AM281" s="337" t="s">
        <v>415</v>
      </c>
      <c r="AN281" s="338" t="s">
        <v>332</v>
      </c>
    </row>
    <row r="282" spans="12:40" x14ac:dyDescent="0.3">
      <c r="L282" s="477"/>
      <c r="AM282" s="337" t="s">
        <v>416</v>
      </c>
      <c r="AN282" s="338" t="s">
        <v>332</v>
      </c>
    </row>
    <row r="283" spans="12:40" x14ac:dyDescent="0.3">
      <c r="L283" s="477"/>
      <c r="AM283" s="337" t="s">
        <v>417</v>
      </c>
      <c r="AN283" s="338" t="s">
        <v>332</v>
      </c>
    </row>
    <row r="284" spans="12:40" x14ac:dyDescent="0.3">
      <c r="L284" s="477"/>
      <c r="AM284" s="337" t="s">
        <v>311</v>
      </c>
      <c r="AN284" s="338" t="s">
        <v>332</v>
      </c>
    </row>
    <row r="285" spans="12:40" x14ac:dyDescent="0.3">
      <c r="L285" s="477"/>
      <c r="AM285" s="337" t="s">
        <v>312</v>
      </c>
      <c r="AN285" s="338" t="s">
        <v>332</v>
      </c>
    </row>
    <row r="286" spans="12:40" x14ac:dyDescent="0.3">
      <c r="L286" s="477"/>
      <c r="AM286" s="337" t="s">
        <v>313</v>
      </c>
      <c r="AN286" s="338" t="s">
        <v>332</v>
      </c>
    </row>
    <row r="287" spans="12:40" x14ac:dyDescent="0.3">
      <c r="L287" s="477"/>
      <c r="AM287" s="337" t="s">
        <v>314</v>
      </c>
      <c r="AN287" s="338" t="s">
        <v>332</v>
      </c>
    </row>
    <row r="288" spans="12:40" x14ac:dyDescent="0.3">
      <c r="L288" s="477"/>
      <c r="AM288" s="337" t="s">
        <v>315</v>
      </c>
      <c r="AN288" s="338" t="s">
        <v>332</v>
      </c>
    </row>
    <row r="289" spans="12:40" x14ac:dyDescent="0.3">
      <c r="L289" s="477"/>
      <c r="AM289" s="337" t="s">
        <v>316</v>
      </c>
      <c r="AN289" s="338" t="s">
        <v>332</v>
      </c>
    </row>
    <row r="290" spans="12:40" x14ac:dyDescent="0.3">
      <c r="L290" s="477"/>
      <c r="AM290" s="337" t="s">
        <v>317</v>
      </c>
      <c r="AN290" s="338" t="s">
        <v>332</v>
      </c>
    </row>
    <row r="291" spans="12:40" x14ac:dyDescent="0.3">
      <c r="L291" s="477"/>
      <c r="AM291" s="337" t="s">
        <v>318</v>
      </c>
      <c r="AN291" s="338" t="s">
        <v>332</v>
      </c>
    </row>
    <row r="292" spans="12:40" x14ac:dyDescent="0.3">
      <c r="AM292" s="337" t="s">
        <v>319</v>
      </c>
      <c r="AN292" s="338" t="s">
        <v>332</v>
      </c>
    </row>
    <row r="293" spans="12:40" x14ac:dyDescent="0.3">
      <c r="AM293" s="337" t="s">
        <v>320</v>
      </c>
      <c r="AN293" s="338" t="s">
        <v>332</v>
      </c>
    </row>
    <row r="294" spans="12:40" x14ac:dyDescent="0.3">
      <c r="AM294" s="337" t="s">
        <v>321</v>
      </c>
      <c r="AN294" s="338" t="s">
        <v>332</v>
      </c>
    </row>
    <row r="295" spans="12:40" x14ac:dyDescent="0.3">
      <c r="AM295" s="337" t="s">
        <v>322</v>
      </c>
      <c r="AN295" s="338" t="s">
        <v>332</v>
      </c>
    </row>
    <row r="296" spans="12:40" x14ac:dyDescent="0.3">
      <c r="AM296" s="337" t="s">
        <v>323</v>
      </c>
      <c r="AN296" s="338" t="s">
        <v>332</v>
      </c>
    </row>
    <row r="297" spans="12:40" x14ac:dyDescent="0.3">
      <c r="AM297" s="337" t="s">
        <v>324</v>
      </c>
      <c r="AN297" s="338" t="s">
        <v>332</v>
      </c>
    </row>
    <row r="298" spans="12:40" x14ac:dyDescent="0.3">
      <c r="AM298" s="337" t="s">
        <v>418</v>
      </c>
      <c r="AN298" s="338" t="s">
        <v>24</v>
      </c>
    </row>
    <row r="299" spans="12:40" x14ac:dyDescent="0.3">
      <c r="AM299" s="337" t="s">
        <v>419</v>
      </c>
      <c r="AN299" s="338" t="s">
        <v>332</v>
      </c>
    </row>
    <row r="300" spans="12:40" x14ac:dyDescent="0.3">
      <c r="AM300" s="337" t="s">
        <v>420</v>
      </c>
      <c r="AN300" s="338" t="s">
        <v>332</v>
      </c>
    </row>
    <row r="301" spans="12:40" x14ac:dyDescent="0.3">
      <c r="AM301" s="337" t="s">
        <v>421</v>
      </c>
      <c r="AN301" s="338" t="s">
        <v>332</v>
      </c>
    </row>
    <row r="302" spans="12:40" x14ac:dyDescent="0.3">
      <c r="AM302" s="337" t="s">
        <v>422</v>
      </c>
      <c r="AN302" s="338" t="s">
        <v>332</v>
      </c>
    </row>
    <row r="303" spans="12:40" x14ac:dyDescent="0.3">
      <c r="AM303" s="337" t="s">
        <v>423</v>
      </c>
      <c r="AN303" s="338" t="s">
        <v>332</v>
      </c>
    </row>
    <row r="304" spans="12:40" x14ac:dyDescent="0.3">
      <c r="AM304" s="337" t="s">
        <v>424</v>
      </c>
      <c r="AN304" s="338" t="s">
        <v>332</v>
      </c>
    </row>
    <row r="305" spans="39:40" x14ac:dyDescent="0.3">
      <c r="AM305" s="337" t="s">
        <v>425</v>
      </c>
      <c r="AN305" s="338" t="s">
        <v>332</v>
      </c>
    </row>
    <row r="306" spans="39:40" x14ac:dyDescent="0.3">
      <c r="AM306" s="337" t="s">
        <v>426</v>
      </c>
      <c r="AN306" s="338" t="s">
        <v>332</v>
      </c>
    </row>
    <row r="307" spans="39:40" x14ac:dyDescent="0.3">
      <c r="AM307" s="337" t="s">
        <v>427</v>
      </c>
      <c r="AN307" s="338" t="s">
        <v>332</v>
      </c>
    </row>
    <row r="308" spans="39:40" x14ac:dyDescent="0.3">
      <c r="AM308" s="337" t="s">
        <v>428</v>
      </c>
      <c r="AN308" s="338" t="s">
        <v>332</v>
      </c>
    </row>
    <row r="309" spans="39:40" x14ac:dyDescent="0.3">
      <c r="AM309" s="337" t="s">
        <v>429</v>
      </c>
      <c r="AN309" s="338" t="s">
        <v>332</v>
      </c>
    </row>
    <row r="310" spans="39:40" x14ac:dyDescent="0.3">
      <c r="AM310" s="337" t="s">
        <v>430</v>
      </c>
      <c r="AN310" s="338" t="s">
        <v>332</v>
      </c>
    </row>
    <row r="311" spans="39:40" x14ac:dyDescent="0.3">
      <c r="AM311" s="337" t="s">
        <v>431</v>
      </c>
      <c r="AN311" s="338" t="s">
        <v>332</v>
      </c>
    </row>
    <row r="312" spans="39:40" x14ac:dyDescent="0.3">
      <c r="AM312" s="337" t="s">
        <v>432</v>
      </c>
      <c r="AN312" s="338" t="s">
        <v>332</v>
      </c>
    </row>
    <row r="313" spans="39:40" x14ac:dyDescent="0.3">
      <c r="AM313" s="337" t="s">
        <v>433</v>
      </c>
      <c r="AN313" s="338" t="s">
        <v>332</v>
      </c>
    </row>
    <row r="314" spans="39:40" x14ac:dyDescent="0.3">
      <c r="AM314" s="337" t="s">
        <v>434</v>
      </c>
      <c r="AN314" s="338" t="s">
        <v>332</v>
      </c>
    </row>
    <row r="315" spans="39:40" x14ac:dyDescent="0.3">
      <c r="AM315" s="337" t="s">
        <v>435</v>
      </c>
      <c r="AN315" s="338" t="s">
        <v>332</v>
      </c>
    </row>
    <row r="316" spans="39:40" x14ac:dyDescent="0.3">
      <c r="AM316" s="337" t="s">
        <v>436</v>
      </c>
      <c r="AN316" s="338" t="s">
        <v>332</v>
      </c>
    </row>
    <row r="317" spans="39:40" x14ac:dyDescent="0.3">
      <c r="AM317" s="337" t="s">
        <v>437</v>
      </c>
      <c r="AN317" s="338" t="s">
        <v>332</v>
      </c>
    </row>
    <row r="318" spans="39:40" x14ac:dyDescent="0.3">
      <c r="AM318" s="337" t="s">
        <v>438</v>
      </c>
      <c r="AN318" s="338" t="s">
        <v>332</v>
      </c>
    </row>
    <row r="319" spans="39:40" x14ac:dyDescent="0.3">
      <c r="AM319" s="337" t="s">
        <v>439</v>
      </c>
      <c r="AN319" s="338" t="s">
        <v>332</v>
      </c>
    </row>
    <row r="320" spans="39:40" x14ac:dyDescent="0.3">
      <c r="AM320" s="337" t="s">
        <v>440</v>
      </c>
      <c r="AN320" s="338" t="s">
        <v>332</v>
      </c>
    </row>
    <row r="321" spans="39:40" x14ac:dyDescent="0.3">
      <c r="AM321" s="337" t="s">
        <v>441</v>
      </c>
      <c r="AN321" s="338" t="s">
        <v>332</v>
      </c>
    </row>
    <row r="322" spans="39:40" x14ac:dyDescent="0.3">
      <c r="AM322" s="337" t="s">
        <v>442</v>
      </c>
      <c r="AN322" s="338" t="s">
        <v>332</v>
      </c>
    </row>
    <row r="323" spans="39:40" x14ac:dyDescent="0.3">
      <c r="AM323" s="337" t="s">
        <v>443</v>
      </c>
      <c r="AN323" s="338" t="s">
        <v>332</v>
      </c>
    </row>
    <row r="324" spans="39:40" x14ac:dyDescent="0.3">
      <c r="AM324" s="337" t="s">
        <v>444</v>
      </c>
      <c r="AN324" s="338" t="s">
        <v>332</v>
      </c>
    </row>
    <row r="325" spans="39:40" x14ac:dyDescent="0.3">
      <c r="AM325" s="337" t="s">
        <v>445</v>
      </c>
      <c r="AN325" s="338" t="s">
        <v>332</v>
      </c>
    </row>
    <row r="326" spans="39:40" x14ac:dyDescent="0.3">
      <c r="AM326" s="337" t="s">
        <v>446</v>
      </c>
      <c r="AN326" s="338" t="s">
        <v>332</v>
      </c>
    </row>
    <row r="327" spans="39:40" x14ac:dyDescent="0.3">
      <c r="AM327" s="337" t="s">
        <v>447</v>
      </c>
      <c r="AN327" s="338" t="s">
        <v>332</v>
      </c>
    </row>
    <row r="328" spans="39:40" x14ac:dyDescent="0.3">
      <c r="AM328" s="337" t="s">
        <v>448</v>
      </c>
      <c r="AN328" s="338" t="s">
        <v>332</v>
      </c>
    </row>
    <row r="329" spans="39:40" x14ac:dyDescent="0.3">
      <c r="AM329" s="337" t="s">
        <v>449</v>
      </c>
      <c r="AN329" s="338" t="s">
        <v>332</v>
      </c>
    </row>
    <row r="330" spans="39:40" x14ac:dyDescent="0.3">
      <c r="AM330" s="337" t="s">
        <v>450</v>
      </c>
      <c r="AN330" s="338" t="s">
        <v>332</v>
      </c>
    </row>
    <row r="331" spans="39:40" x14ac:dyDescent="0.3">
      <c r="AM331" s="337" t="s">
        <v>451</v>
      </c>
      <c r="AN331" s="338" t="s">
        <v>332</v>
      </c>
    </row>
    <row r="332" spans="39:40" x14ac:dyDescent="0.3">
      <c r="AM332" s="337" t="s">
        <v>452</v>
      </c>
      <c r="AN332" s="338" t="s">
        <v>332</v>
      </c>
    </row>
    <row r="333" spans="39:40" x14ac:dyDescent="0.3">
      <c r="AM333" s="337" t="s">
        <v>453</v>
      </c>
      <c r="AN333" s="338" t="s">
        <v>332</v>
      </c>
    </row>
    <row r="334" spans="39:40" x14ac:dyDescent="0.3">
      <c r="AM334" s="337" t="s">
        <v>454</v>
      </c>
      <c r="AN334" s="338" t="s">
        <v>332</v>
      </c>
    </row>
    <row r="335" spans="39:40" x14ac:dyDescent="0.3">
      <c r="AM335" s="337" t="s">
        <v>455</v>
      </c>
      <c r="AN335" s="338" t="s">
        <v>332</v>
      </c>
    </row>
    <row r="336" spans="39:40" x14ac:dyDescent="0.3">
      <c r="AM336" s="337" t="s">
        <v>456</v>
      </c>
      <c r="AN336" s="338" t="s">
        <v>332</v>
      </c>
    </row>
    <row r="337" spans="39:40" x14ac:dyDescent="0.3">
      <c r="AM337" s="337" t="s">
        <v>457</v>
      </c>
      <c r="AN337" s="338" t="s">
        <v>332</v>
      </c>
    </row>
    <row r="338" spans="39:40" x14ac:dyDescent="0.3">
      <c r="AM338" s="337" t="s">
        <v>458</v>
      </c>
      <c r="AN338" s="338" t="s">
        <v>332</v>
      </c>
    </row>
    <row r="339" spans="39:40" x14ac:dyDescent="0.3">
      <c r="AM339" s="337" t="s">
        <v>459</v>
      </c>
      <c r="AN339" s="338" t="s">
        <v>332</v>
      </c>
    </row>
    <row r="340" spans="39:40" x14ac:dyDescent="0.3">
      <c r="AM340" s="337" t="s">
        <v>325</v>
      </c>
      <c r="AN340" s="338" t="s">
        <v>332</v>
      </c>
    </row>
    <row r="341" spans="39:40" x14ac:dyDescent="0.3">
      <c r="AM341" s="337" t="s">
        <v>326</v>
      </c>
      <c r="AN341" s="338" t="s">
        <v>332</v>
      </c>
    </row>
    <row r="342" spans="39:40" x14ac:dyDescent="0.3">
      <c r="AM342" s="337" t="s">
        <v>327</v>
      </c>
      <c r="AN342" s="338" t="s">
        <v>332</v>
      </c>
    </row>
    <row r="343" spans="39:40" x14ac:dyDescent="0.3">
      <c r="AM343" s="337" t="s">
        <v>328</v>
      </c>
      <c r="AN343" s="338" t="s">
        <v>332</v>
      </c>
    </row>
    <row r="344" spans="39:40" x14ac:dyDescent="0.3">
      <c r="AM344" s="337" t="s">
        <v>329</v>
      </c>
      <c r="AN344" s="338" t="s">
        <v>332</v>
      </c>
    </row>
    <row r="345" spans="39:40" x14ac:dyDescent="0.3">
      <c r="AM345" s="337" t="s">
        <v>330</v>
      </c>
      <c r="AN345" s="338" t="s">
        <v>332</v>
      </c>
    </row>
    <row r="346" spans="39:40" x14ac:dyDescent="0.3">
      <c r="AM346" s="337" t="s">
        <v>331</v>
      </c>
      <c r="AN346" s="338" t="s">
        <v>332</v>
      </c>
    </row>
  </sheetData>
  <sheetProtection algorithmName="SHA-512" hashValue="Hb8BumwJ/fpMW0h03slwflnp6GgqXN/H8djIMMfQC4z38JeGiVap56mcs8qm5i2IRWNTcO59w059dOBWkGxbyw==" saltValue="07Pc4wLQlBuBerHdkWMKAA==" spinCount="100000" sheet="1" objects="1" scenarios="1" selectLockedCells="1"/>
  <mergeCells count="20">
    <mergeCell ref="AY3:BE3"/>
    <mergeCell ref="BI3:BJ3"/>
    <mergeCell ref="BI12:BJ12"/>
    <mergeCell ref="BM18:BN18"/>
    <mergeCell ref="V29:W29"/>
    <mergeCell ref="Y3:Z3"/>
    <mergeCell ref="AB3:AC3"/>
    <mergeCell ref="AP3:AQ3"/>
    <mergeCell ref="AU3:AV3"/>
    <mergeCell ref="AE11:AF11"/>
    <mergeCell ref="AU12:AV12"/>
    <mergeCell ref="AP23:AQ23"/>
    <mergeCell ref="AU27:AV27"/>
    <mergeCell ref="B1:P1"/>
    <mergeCell ref="AU34:AV34"/>
    <mergeCell ref="S19:T19"/>
    <mergeCell ref="S12:T12"/>
    <mergeCell ref="AE3:AF3"/>
    <mergeCell ref="S3:T3"/>
    <mergeCell ref="V3:W3"/>
  </mergeCells>
  <phoneticPr fontId="23" type="noConversion"/>
  <conditionalFormatting sqref="AP4:AP9">
    <cfRule type="cellIs" dxfId="345" priority="5" operator="equal">
      <formula>$AO$83</formula>
    </cfRule>
  </conditionalFormatting>
  <conditionalFormatting sqref="AP24:AP29">
    <cfRule type="cellIs" dxfId="344" priority="1487" operator="equal">
      <formula>$J$83</formula>
    </cfRule>
  </conditionalFormatting>
  <conditionalFormatting sqref="AS4:AS9">
    <cfRule type="cellIs" dxfId="343" priority="4" operator="equal">
      <formula>$AO$83</formula>
    </cfRule>
  </conditionalFormatting>
  <conditionalFormatting sqref="AS24:AS29">
    <cfRule type="cellIs" dxfId="342" priority="3" operator="equal">
      <formula>$AO$83</formula>
    </cfRule>
  </conditionalFormatting>
  <pageMargins left="0.7" right="0.7" top="0.75" bottom="0.75" header="0.3" footer="0.3"/>
  <pageSetup paperSize="8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B6533-9A1A-41C3-8C9D-56C4371AC10C}">
  <sheetPr codeName="Foglio8">
    <tabColor rgb="FF00B050"/>
    <pageSetUpPr fitToPage="1"/>
  </sheetPr>
  <dimension ref="A1:BN118"/>
  <sheetViews>
    <sheetView showGridLines="0" zoomScaleNormal="100" workbookViewId="0">
      <selection activeCell="U6" sqref="U6"/>
    </sheetView>
  </sheetViews>
  <sheetFormatPr defaultColWidth="9" defaultRowHeight="15.6" x14ac:dyDescent="0.3"/>
  <cols>
    <col min="1" max="1" width="1.69921875" style="3" customWidth="1"/>
    <col min="2" max="3" width="6.69921875" style="3" customWidth="1"/>
    <col min="4" max="4" width="7.69921875" style="3" customWidth="1"/>
    <col min="5" max="6" width="3.69921875" style="3" customWidth="1"/>
    <col min="7" max="8" width="6.69921875" style="3" customWidth="1"/>
    <col min="9" max="9" width="7.69921875" style="3" customWidth="1"/>
    <col min="10" max="11" width="3.69921875" style="3" customWidth="1"/>
    <col min="12" max="13" width="6.69921875" style="3" customWidth="1"/>
    <col min="14" max="14" width="7.69921875" style="3" customWidth="1"/>
    <col min="15" max="16" width="3.69921875" style="3" customWidth="1"/>
    <col min="17" max="17" width="6.69921875" style="3" customWidth="1"/>
    <col min="18" max="19" width="7.69921875" style="3" customWidth="1"/>
    <col min="20" max="21" width="3.69921875" style="3" customWidth="1"/>
    <col min="22" max="22" width="1.69921875" style="3" customWidth="1"/>
    <col min="23" max="25" width="6" style="3" hidden="1" customWidth="1"/>
    <col min="26" max="26" width="10.19921875" style="3" hidden="1" customWidth="1"/>
    <col min="27" max="27" width="24.19921875" style="3" hidden="1" customWidth="1"/>
    <col min="28" max="28" width="9" style="3" hidden="1" customWidth="1"/>
    <col min="29" max="29" width="7.69921875" style="3" hidden="1" customWidth="1"/>
    <col min="30" max="30" width="26.69921875" style="3" hidden="1" customWidth="1"/>
    <col min="31" max="31" width="13" style="3" hidden="1" customWidth="1"/>
    <col min="32" max="32" width="9" style="3" hidden="1" customWidth="1"/>
    <col min="33" max="33" width="12.5" style="3" hidden="1" customWidth="1"/>
    <col min="34" max="34" width="11.19921875" style="3" hidden="1" customWidth="1"/>
    <col min="35" max="35" width="9" style="3" hidden="1" customWidth="1"/>
    <col min="36" max="36" width="9.19921875" style="3" hidden="1" customWidth="1"/>
    <col min="37" max="37" width="10.19921875" style="3" hidden="1" customWidth="1"/>
    <col min="38" max="39" width="9" style="3" hidden="1" customWidth="1"/>
    <col min="40" max="40" width="26.69921875" style="3" hidden="1" customWidth="1"/>
    <col min="41" max="41" width="11.69921875" style="3" hidden="1" customWidth="1"/>
    <col min="42" max="49" width="9" style="3" hidden="1" customWidth="1"/>
    <col min="50" max="50" width="10.69921875" style="3" hidden="1" customWidth="1"/>
    <col min="51" max="55" width="9" style="3" hidden="1" customWidth="1"/>
    <col min="56" max="56" width="35.19921875" style="3" hidden="1" customWidth="1"/>
    <col min="57" max="57" width="9" style="3" hidden="1" customWidth="1"/>
    <col min="58" max="58" width="7.5" style="3" hidden="1" customWidth="1"/>
    <col min="59" max="59" width="5.69921875" style="3" hidden="1" customWidth="1"/>
    <col min="60" max="60" width="6" style="3" hidden="1" customWidth="1"/>
    <col min="61" max="61" width="7.69921875" style="3" customWidth="1"/>
    <col min="62" max="64" width="9" style="3" customWidth="1"/>
    <col min="65" max="16384" width="9" style="3"/>
  </cols>
  <sheetData>
    <row r="1" spans="1:63" ht="13.5" customHeight="1" thickBot="1" x14ac:dyDescent="0.35"/>
    <row r="2" spans="1:63" ht="16.5" customHeight="1" thickBot="1" x14ac:dyDescent="0.35">
      <c r="B2" s="280"/>
      <c r="C2" s="281"/>
      <c r="D2" s="503" t="s">
        <v>1701</v>
      </c>
      <c r="E2" s="504"/>
      <c r="F2" s="504"/>
      <c r="G2" s="504"/>
      <c r="H2" s="504"/>
      <c r="I2" s="504"/>
      <c r="J2" s="504"/>
      <c r="K2" s="504"/>
      <c r="L2" s="504"/>
      <c r="M2" s="504"/>
      <c r="N2" s="505"/>
      <c r="O2" s="9"/>
      <c r="P2" s="10"/>
      <c r="Q2" s="10"/>
      <c r="R2" s="11"/>
      <c r="S2" s="12"/>
      <c r="T2" s="10"/>
      <c r="U2" s="13"/>
      <c r="AA2" s="18" t="s">
        <v>484</v>
      </c>
      <c r="AB2" s="19" t="e">
        <f>VLOOKUP($C$7,A!$V$4:$W$27,2,FALSE)</f>
        <v>#N/A</v>
      </c>
      <c r="AC2" s="20"/>
      <c r="AD2" s="491" t="s">
        <v>1053</v>
      </c>
      <c r="AE2" s="492"/>
      <c r="AG2" s="34" t="s">
        <v>1636</v>
      </c>
      <c r="AH2" s="35"/>
      <c r="AI2" s="36"/>
      <c r="AJ2" s="36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8"/>
      <c r="AX2" s="38"/>
      <c r="AY2" s="38"/>
      <c r="AZ2" s="38"/>
      <c r="BA2" s="38"/>
      <c r="BB2" s="38"/>
      <c r="BC2" s="38"/>
      <c r="BD2" s="38"/>
      <c r="BE2" s="38"/>
      <c r="BF2" s="39"/>
    </row>
    <row r="3" spans="1:63" ht="16.2" thickBot="1" x14ac:dyDescent="0.35">
      <c r="B3" s="282"/>
      <c r="C3" s="283"/>
      <c r="D3" s="506"/>
      <c r="E3" s="507"/>
      <c r="F3" s="507"/>
      <c r="G3" s="507"/>
      <c r="H3" s="507"/>
      <c r="I3" s="507"/>
      <c r="J3" s="507"/>
      <c r="K3" s="507"/>
      <c r="L3" s="507"/>
      <c r="M3" s="507"/>
      <c r="N3" s="508"/>
      <c r="O3" s="24"/>
      <c r="P3" s="489" t="s">
        <v>1703</v>
      </c>
      <c r="Q3" s="25"/>
      <c r="R3" s="25"/>
      <c r="S3" s="26"/>
      <c r="T3" s="25"/>
      <c r="U3" s="27"/>
      <c r="AD3" s="29" t="s">
        <v>549</v>
      </c>
      <c r="AE3" s="30">
        <f>IF($H$9&lt;A!$BB$5,1/(1+EXP(-A!$AY$5*($H$9/A!$BA$5-A!$AZ$5))),1/(1+EXP(-A!$BC$5*($H$9/A!$BE$5-A!$BD$5))))</f>
        <v>1.1695102650555148E-3</v>
      </c>
      <c r="AG3" s="43"/>
      <c r="AH3" s="44"/>
      <c r="AI3" s="45"/>
      <c r="AJ3" s="45"/>
      <c r="AK3" s="45"/>
      <c r="AL3" s="45"/>
      <c r="AM3" s="45"/>
      <c r="AN3" s="46" t="s">
        <v>168</v>
      </c>
      <c r="AO3" s="46" t="s">
        <v>178</v>
      </c>
      <c r="AP3" s="45"/>
      <c r="AQ3" s="45"/>
      <c r="AR3" s="45"/>
      <c r="AS3" s="45"/>
      <c r="AT3" s="45"/>
      <c r="AU3" s="45"/>
      <c r="AV3" s="45"/>
      <c r="AW3" s="44"/>
      <c r="AX3" s="44"/>
      <c r="AY3" s="44"/>
      <c r="AZ3" s="44"/>
      <c r="BA3" s="44"/>
      <c r="BB3" s="44"/>
      <c r="BC3" s="44"/>
      <c r="BD3" s="47" t="s">
        <v>1631</v>
      </c>
      <c r="BE3" s="48"/>
      <c r="BF3" s="49"/>
    </row>
    <row r="4" spans="1:63" ht="16.2" thickBot="1" x14ac:dyDescent="0.35">
      <c r="B4" s="284"/>
      <c r="C4" s="488" t="s">
        <v>1702</v>
      </c>
      <c r="D4" s="509"/>
      <c r="E4" s="510"/>
      <c r="F4" s="510"/>
      <c r="G4" s="510"/>
      <c r="H4" s="510"/>
      <c r="I4" s="510"/>
      <c r="J4" s="510"/>
      <c r="K4" s="510"/>
      <c r="L4" s="510"/>
      <c r="M4" s="510"/>
      <c r="N4" s="511"/>
      <c r="O4" s="487"/>
      <c r="P4" s="25"/>
      <c r="Q4" s="25"/>
      <c r="S4" s="487"/>
      <c r="T4" s="512"/>
      <c r="U4" s="513"/>
      <c r="AA4" s="18" t="s">
        <v>547</v>
      </c>
      <c r="AB4" s="19" t="e">
        <f>VLOOKUP($N$7,A!$S$4:$T$10,2,FALSE)</f>
        <v>#N/A</v>
      </c>
      <c r="AD4" s="32" t="s">
        <v>168</v>
      </c>
      <c r="AE4" s="33">
        <f>1/(1+EXP(-A!$AY$6*($J$9/A!$BA$6-A!$AZ$6)))</f>
        <v>8.1625711531598897E-3</v>
      </c>
      <c r="AG4" s="43"/>
      <c r="AH4" s="44"/>
      <c r="AI4" s="45"/>
      <c r="AJ4" s="45"/>
      <c r="AK4" s="45"/>
      <c r="AL4" s="45"/>
      <c r="AM4" s="57" t="s">
        <v>1692</v>
      </c>
      <c r="AN4" s="58">
        <f>((J9+C9)/2)/1.111111</f>
        <v>0</v>
      </c>
      <c r="AO4" s="58">
        <f>$O$9/1.111111</f>
        <v>0</v>
      </c>
      <c r="AP4" s="45"/>
      <c r="AQ4" s="45"/>
      <c r="AR4" s="45"/>
      <c r="AS4" s="45"/>
      <c r="AT4" s="45"/>
      <c r="AU4" s="45"/>
      <c r="AV4" s="45"/>
      <c r="AW4" s="44"/>
      <c r="AX4" s="44"/>
      <c r="AY4" s="44"/>
      <c r="AZ4" s="44"/>
      <c r="BA4" s="44"/>
      <c r="BB4" s="44"/>
      <c r="BC4" s="44"/>
      <c r="BD4" s="59" t="s">
        <v>1629</v>
      </c>
      <c r="BE4" s="49"/>
      <c r="BF4" s="49"/>
      <c r="BI4" s="3" t="s">
        <v>1619</v>
      </c>
    </row>
    <row r="5" spans="1:63" ht="15" customHeight="1" thickBot="1" x14ac:dyDescent="0.35">
      <c r="B5" s="514" t="s">
        <v>1579</v>
      </c>
      <c r="C5" s="515"/>
      <c r="D5" s="515"/>
      <c r="E5" s="515"/>
      <c r="F5" s="515"/>
      <c r="G5" s="515"/>
      <c r="H5" s="515"/>
      <c r="I5" s="515"/>
      <c r="J5" s="515"/>
      <c r="K5" s="515"/>
      <c r="L5" s="515"/>
      <c r="M5" s="515"/>
      <c r="N5" s="515"/>
      <c r="O5" s="515"/>
      <c r="P5" s="515"/>
      <c r="Q5" s="515"/>
      <c r="R5" s="515"/>
      <c r="S5" s="515"/>
      <c r="T5" s="515"/>
      <c r="U5" s="516"/>
      <c r="AD5" s="32" t="s">
        <v>76</v>
      </c>
      <c r="AE5" s="33">
        <f>1/(1+EXP(-A!$AY$7*($C$9/A!$BA$7-A!$AZ$7)))</f>
        <v>4.5262222324053502E-4</v>
      </c>
      <c r="AG5" s="65"/>
      <c r="AH5" s="66"/>
      <c r="AI5" s="45"/>
      <c r="AJ5" s="45"/>
      <c r="AK5" s="45"/>
      <c r="AL5" s="45"/>
      <c r="AM5" s="45"/>
      <c r="AN5" s="45" t="s">
        <v>176</v>
      </c>
      <c r="AO5" s="45" t="s">
        <v>177</v>
      </c>
      <c r="AP5" s="45"/>
      <c r="AQ5" s="45"/>
      <c r="AR5" s="45"/>
      <c r="AS5" s="45"/>
      <c r="AT5" s="45"/>
      <c r="AU5" s="45"/>
      <c r="AV5" s="45"/>
      <c r="AW5" s="44"/>
      <c r="AX5" s="44"/>
      <c r="AY5" s="44"/>
      <c r="AZ5" s="44"/>
      <c r="BA5" s="44"/>
      <c r="BB5" s="44"/>
      <c r="BC5" s="44"/>
      <c r="BD5" s="67">
        <f>'TRG-P'!$C$17</f>
        <v>0</v>
      </c>
      <c r="BE5" s="49"/>
      <c r="BF5" s="49"/>
      <c r="BI5" s="40" t="s">
        <v>1601</v>
      </c>
    </row>
    <row r="6" spans="1:63" ht="15" customHeight="1" thickBot="1" x14ac:dyDescent="0.35">
      <c r="A6" s="50"/>
      <c r="B6" s="517" t="s">
        <v>473</v>
      </c>
      <c r="C6" s="518"/>
      <c r="D6" s="519"/>
      <c r="E6" s="519"/>
      <c r="F6" s="519"/>
      <c r="G6" s="52" t="s">
        <v>120</v>
      </c>
      <c r="H6" s="316"/>
      <c r="I6" s="53" t="s">
        <v>171</v>
      </c>
      <c r="J6" s="520"/>
      <c r="K6" s="520"/>
      <c r="L6" s="520"/>
      <c r="M6" s="520"/>
      <c r="N6" s="520"/>
      <c r="O6" s="520"/>
      <c r="P6" s="520"/>
      <c r="Q6" s="520"/>
      <c r="R6" s="54" t="s">
        <v>474</v>
      </c>
      <c r="S6" s="55" t="e">
        <f>VLOOKUP(J6,A!$K$5:$L$250,2,FALSE)&amp;" "&amp;U6</f>
        <v>#N/A</v>
      </c>
      <c r="T6" s="52" t="s">
        <v>461</v>
      </c>
      <c r="U6" s="729"/>
      <c r="AA6" s="18" t="s">
        <v>512</v>
      </c>
      <c r="AB6" s="19" t="e">
        <f>VLOOKUP($J$7,A!$Y$4:$Z$12,2,FALSE)</f>
        <v>#N/A</v>
      </c>
      <c r="AD6" s="32" t="s">
        <v>550</v>
      </c>
      <c r="AE6" s="33">
        <f>MAX($AE$3:$AE$5)+((1-MAX($AE$3:$AE$5))*((SUM($AE$3:$AE$5)-MAX($AE$3:$AE$5))/2))</f>
        <v>8.9670170113801302E-3</v>
      </c>
      <c r="AG6" s="70"/>
      <c r="AH6" s="66" t="s">
        <v>179</v>
      </c>
      <c r="AI6" s="45"/>
      <c r="AJ6" s="45"/>
      <c r="AK6" s="71"/>
      <c r="AL6" s="72"/>
      <c r="AM6" s="72" t="s">
        <v>9</v>
      </c>
      <c r="AN6" s="73" t="e">
        <f>3600/$AN$4</f>
        <v>#DIV/0!</v>
      </c>
      <c r="AO6" s="73" t="e">
        <f>3600/$AO$4</f>
        <v>#DIV/0!</v>
      </c>
      <c r="AP6" s="73"/>
      <c r="AQ6" s="45"/>
      <c r="AR6" s="45"/>
      <c r="AS6" s="44"/>
      <c r="AT6" s="44"/>
      <c r="AU6" s="45"/>
      <c r="AV6" s="44"/>
      <c r="AW6" s="44"/>
      <c r="AX6" s="44"/>
      <c r="AY6" s="44"/>
      <c r="AZ6" s="44"/>
      <c r="BA6" s="44"/>
      <c r="BB6" s="44"/>
      <c r="BC6" s="44"/>
      <c r="BD6" s="59" t="s">
        <v>1627</v>
      </c>
      <c r="BE6" s="74" t="s">
        <v>1628</v>
      </c>
      <c r="BF6" s="74"/>
      <c r="BI6" s="40"/>
    </row>
    <row r="7" spans="1:63" ht="15" customHeight="1" thickBot="1" x14ac:dyDescent="0.35">
      <c r="B7" s="61" t="s">
        <v>484</v>
      </c>
      <c r="C7" s="521"/>
      <c r="D7" s="521"/>
      <c r="E7" s="522" t="s">
        <v>705</v>
      </c>
      <c r="F7" s="522"/>
      <c r="G7" s="521"/>
      <c r="H7" s="521"/>
      <c r="I7" s="62" t="s">
        <v>542</v>
      </c>
      <c r="J7" s="521"/>
      <c r="K7" s="521"/>
      <c r="L7" s="521"/>
      <c r="M7" s="63" t="s">
        <v>548</v>
      </c>
      <c r="N7" s="523"/>
      <c r="O7" s="523"/>
      <c r="P7" s="523"/>
      <c r="Q7" s="523"/>
      <c r="R7" s="62" t="s">
        <v>540</v>
      </c>
      <c r="S7" s="501"/>
      <c r="T7" s="501"/>
      <c r="U7" s="502"/>
      <c r="AD7" s="32" t="s">
        <v>551</v>
      </c>
      <c r="AE7" s="64" t="e">
        <f>($AB$2+$AB$4+$AB$6+$AB$8+$AB$10)/100</f>
        <v>#N/A</v>
      </c>
      <c r="AG7" s="65">
        <v>1</v>
      </c>
      <c r="AH7" s="66" t="e">
        <f>"da "&amp;ROUND(AN7,0)&amp;" a "&amp;ROUND(AN6,0)&amp;"  pedoni/ora"</f>
        <v>#DIV/0!</v>
      </c>
      <c r="AI7" s="45"/>
      <c r="AJ7" s="45"/>
      <c r="AK7" s="45"/>
      <c r="AL7" s="45"/>
      <c r="AM7" s="72" t="s">
        <v>16</v>
      </c>
      <c r="AN7" s="73" t="e">
        <f>AN$6/5</f>
        <v>#DIV/0!</v>
      </c>
      <c r="AO7" s="73" t="e">
        <f>AO$6/5</f>
        <v>#DIV/0!</v>
      </c>
      <c r="AP7" s="82"/>
      <c r="AQ7" s="45"/>
      <c r="AR7" s="45"/>
      <c r="AS7" s="44"/>
      <c r="AT7" s="44"/>
      <c r="AU7" s="45"/>
      <c r="AV7" s="44"/>
      <c r="AW7" s="44"/>
      <c r="AX7" s="44"/>
      <c r="AY7" s="44"/>
      <c r="AZ7" s="44"/>
      <c r="BA7" s="44"/>
      <c r="BB7" s="44"/>
      <c r="BC7" s="44"/>
      <c r="BD7" s="83" t="str">
        <f>IF(BD5="proprietà",BD30,IF(BD5="occupazione",BD40,IF(BD5="pedoni/ciclisti",AH7,IF(BD5="traffico 30 Km/h",AH57,IF(BD5="traffico 50 km/h",AH49,IF(BD5="traffico 70 Km/h",AH41,IF(BD5="traffico 90 Km/h",AH33,IF(BD5="traffico 110 km/h",AH25, " "))))))))</f>
        <v xml:space="preserve"> </v>
      </c>
      <c r="BE7" s="49">
        <v>1</v>
      </c>
      <c r="BF7" s="49"/>
      <c r="BI7" s="60" t="s">
        <v>1640</v>
      </c>
    </row>
    <row r="8" spans="1:63" ht="15" customHeight="1" thickBot="1" x14ac:dyDescent="0.35">
      <c r="B8" s="51" t="s">
        <v>170</v>
      </c>
      <c r="C8" s="310"/>
      <c r="D8" s="524"/>
      <c r="E8" s="524"/>
      <c r="F8" s="524"/>
      <c r="G8" s="524"/>
      <c r="H8" s="524"/>
      <c r="I8" s="536" t="s">
        <v>1187</v>
      </c>
      <c r="J8" s="536"/>
      <c r="K8" s="536"/>
      <c r="L8" s="524"/>
      <c r="M8" s="524"/>
      <c r="N8" s="524"/>
      <c r="O8" s="524"/>
      <c r="P8" s="524"/>
      <c r="Q8" s="524"/>
      <c r="R8" s="524"/>
      <c r="S8" s="524"/>
      <c r="T8" s="524"/>
      <c r="U8" s="535"/>
      <c r="AA8" s="18" t="s">
        <v>515</v>
      </c>
      <c r="AB8" s="19" t="e">
        <f>VLOOKUP($G$7,A!$AB$4:$AC$11,2,FALSE)</f>
        <v>#N/A</v>
      </c>
      <c r="AD8" s="32" t="s">
        <v>552</v>
      </c>
      <c r="AE8" s="33" t="e">
        <f>$AE$6+(1-$AE$6)*$AE$7</f>
        <v>#N/A</v>
      </c>
      <c r="AG8" s="65">
        <v>2</v>
      </c>
      <c r="AH8" s="66" t="e">
        <f>"da "&amp;ROUND(AN9,0)&amp;" a "&amp;ROUND(AN7,0)&amp;"  pedoni/ora"</f>
        <v>#DIV/0!</v>
      </c>
      <c r="AI8" s="45"/>
      <c r="AJ8" s="45"/>
      <c r="AK8" s="45"/>
      <c r="AL8" s="72"/>
      <c r="AM8" s="72" t="s">
        <v>10</v>
      </c>
      <c r="AN8" s="73" t="e">
        <f>AN6/10</f>
        <v>#DIV/0!</v>
      </c>
      <c r="AO8" s="73" t="e">
        <f>AO6/10</f>
        <v>#DIV/0!</v>
      </c>
      <c r="AP8" s="82"/>
      <c r="AQ8" s="45"/>
      <c r="AR8" s="45"/>
      <c r="AS8" s="44"/>
      <c r="AT8" s="44"/>
      <c r="AU8" s="45"/>
      <c r="AV8" s="44"/>
      <c r="AW8" s="44"/>
      <c r="AX8" s="44"/>
      <c r="AY8" s="44"/>
      <c r="AZ8" s="44"/>
      <c r="BA8" s="44"/>
      <c r="BB8" s="44"/>
      <c r="BC8" s="44"/>
      <c r="BD8" s="83" t="str">
        <f>IF(BD5="proprietà",BD31,IF(BD5="occupazione",BD41,IF(BD5="pedoni/ciclisti",AH8,IF(BD5="traffico 30 Km/h",AH58,IF(BD5="traffico 50 km/h",AH50,IF(BD5="traffico 70 Km/h",AH42,IF(BD5="traffico 90 Km/h",AH34,IF(BD5="traffico 110 km/h",AH26, " "))))))))</f>
        <v xml:space="preserve"> </v>
      </c>
      <c r="BE8" s="49">
        <v>2</v>
      </c>
      <c r="BF8" s="49"/>
    </row>
    <row r="9" spans="1:63" ht="15" customHeight="1" thickBot="1" x14ac:dyDescent="0.35">
      <c r="A9" s="75"/>
      <c r="B9" s="311" t="s">
        <v>2</v>
      </c>
      <c r="C9" s="317"/>
      <c r="D9" s="312" t="s">
        <v>555</v>
      </c>
      <c r="E9" s="531"/>
      <c r="F9" s="531"/>
      <c r="G9" s="313" t="s">
        <v>475</v>
      </c>
      <c r="H9" s="314">
        <f>E9*PI()</f>
        <v>0</v>
      </c>
      <c r="I9" s="312" t="s">
        <v>1596</v>
      </c>
      <c r="J9" s="532"/>
      <c r="K9" s="532"/>
      <c r="L9" s="312" t="s">
        <v>1184</v>
      </c>
      <c r="M9" s="318"/>
      <c r="N9" s="312" t="s">
        <v>1185</v>
      </c>
      <c r="O9" s="533"/>
      <c r="P9" s="533"/>
      <c r="Q9" s="312" t="s">
        <v>531</v>
      </c>
      <c r="R9" s="318"/>
      <c r="S9" s="312" t="s">
        <v>1186</v>
      </c>
      <c r="T9" s="533"/>
      <c r="U9" s="534"/>
      <c r="V9" s="68"/>
      <c r="AD9" s="32" t="s">
        <v>553</v>
      </c>
      <c r="AE9" s="81" t="e">
        <f>VLOOKUP($C$8,A!$AI$4:$AK$110,3,FALSE)</f>
        <v>#N/A</v>
      </c>
      <c r="AG9" s="65">
        <v>3</v>
      </c>
      <c r="AH9" s="66" t="e">
        <f>"da "&amp;ROUND(AN11,0)&amp;" pedoni/giorno a "&amp;ROUND(AN9,0)&amp;"  pedoni/ora"</f>
        <v>#DIV/0!</v>
      </c>
      <c r="AI9" s="45"/>
      <c r="AJ9" s="45"/>
      <c r="AK9" s="45"/>
      <c r="AL9" s="45"/>
      <c r="AM9" s="72" t="s">
        <v>17</v>
      </c>
      <c r="AN9" s="73" t="e">
        <f>AN$6/50</f>
        <v>#DIV/0!</v>
      </c>
      <c r="AO9" s="73" t="e">
        <f>AO$6/50</f>
        <v>#DIV/0!</v>
      </c>
      <c r="AP9" s="82"/>
      <c r="AQ9" s="45"/>
      <c r="AR9" s="45"/>
      <c r="AS9" s="44"/>
      <c r="AT9" s="44"/>
      <c r="AU9" s="45"/>
      <c r="AV9" s="44"/>
      <c r="AW9" s="44"/>
      <c r="AX9" s="44"/>
      <c r="AY9" s="44"/>
      <c r="AZ9" s="44"/>
      <c r="BA9" s="44"/>
      <c r="BB9" s="44"/>
      <c r="BC9" s="44"/>
      <c r="BD9" s="83" t="str">
        <f>IF(BD5="proprietà",BD32,IF(BD5="occupazione",BD42,IF(BD5="pedoni/ciclisti",AH9,IF(BD5="traffico 30 Km/h",AH59,IF(BD5="traffico 50 km/h",AH51,IF(BD5="traffico 70 Km/h",AH43,IF(BD5="traffico 90 Km/h",AH35,IF(BD5="traffico 110 km/h",AH27, " "))))))))</f>
        <v xml:space="preserve"> </v>
      </c>
      <c r="BE9" s="49">
        <v>3</v>
      </c>
      <c r="BF9" s="49"/>
      <c r="BI9" s="586" t="str">
        <f>IF($R$9&gt;$C$9,"CORREGGI ALTEZZA BRANCA","")</f>
        <v/>
      </c>
      <c r="BJ9" s="586"/>
      <c r="BK9" s="586"/>
    </row>
    <row r="10" spans="1:63" ht="15" customHeight="1" thickBot="1" x14ac:dyDescent="0.35">
      <c r="B10" s="525" t="s">
        <v>1683</v>
      </c>
      <c r="C10" s="526"/>
      <c r="D10" s="526"/>
      <c r="E10" s="526"/>
      <c r="F10" s="526"/>
      <c r="G10" s="526"/>
      <c r="H10" s="526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26"/>
      <c r="T10" s="526"/>
      <c r="U10" s="527"/>
      <c r="V10" s="114"/>
      <c r="AA10" s="18" t="s">
        <v>538</v>
      </c>
      <c r="AB10" s="19" t="e">
        <f>VLOOKUP($S$7,A!$AE$4:$AF$9,2,FALSE)</f>
        <v>#N/A</v>
      </c>
      <c r="AD10" s="88" t="s">
        <v>554</v>
      </c>
      <c r="AE10" s="89" t="e">
        <f>VLOOKUP($S$8,A!$AE$12:$AF$16,2,FALSE)</f>
        <v>#N/A</v>
      </c>
      <c r="AG10" s="65">
        <v>4</v>
      </c>
      <c r="AH10" s="66" t="e">
        <f>"da "&amp;ROUND(AN13,1)&amp;" a "&amp;ROUND(AN11,1)&amp;"  pedoni/giorno"</f>
        <v>#DIV/0!</v>
      </c>
      <c r="AI10" s="45"/>
      <c r="AJ10" s="45"/>
      <c r="AK10" s="45"/>
      <c r="AL10" s="72"/>
      <c r="AM10" s="72" t="s">
        <v>11</v>
      </c>
      <c r="AN10" s="73" t="e">
        <f>AN8/10</f>
        <v>#DIV/0!</v>
      </c>
      <c r="AO10" s="73" t="e">
        <f>AO8/10</f>
        <v>#DIV/0!</v>
      </c>
      <c r="AP10" s="82"/>
      <c r="AQ10" s="45"/>
      <c r="AR10" s="45"/>
      <c r="AS10" s="44"/>
      <c r="AT10" s="44"/>
      <c r="AU10" s="45"/>
      <c r="AV10" s="44"/>
      <c r="AW10" s="44"/>
      <c r="AX10" s="44"/>
      <c r="AY10" s="44"/>
      <c r="AZ10" s="44"/>
      <c r="BA10" s="44"/>
      <c r="BB10" s="44"/>
      <c r="BC10" s="44"/>
      <c r="BD10" s="83" t="str">
        <f>IF(BD5="proprietà",BD33,IF(BD5="occupazione",BD43,IF(BD5="pedoni/ciclisti",AH10,IF(BD5="traffico 30 Km/h",AH60,IF(BD5="traffico 50 km/h",AH52,IF(BD5="traffico 70 Km/h",AH44,IF(BD5="traffico 90 Km/h",AH36,IF(BD5="traffico 110 km/h",AH28, " "))))))))</f>
        <v xml:space="preserve"> </v>
      </c>
      <c r="BE10" s="49">
        <v>4</v>
      </c>
      <c r="BF10" s="49"/>
      <c r="BI10" s="286"/>
      <c r="BJ10" s="286"/>
      <c r="BK10" s="286"/>
    </row>
    <row r="11" spans="1:63" ht="15" customHeight="1" thickBot="1" x14ac:dyDescent="0.35">
      <c r="B11" s="118" t="s">
        <v>1590</v>
      </c>
      <c r="C11" s="119"/>
      <c r="D11" s="119"/>
      <c r="E11" s="528"/>
      <c r="F11" s="528"/>
      <c r="G11" s="529"/>
      <c r="H11" s="530" t="str">
        <f>IF(E11="","",VLOOKUP(E11,A!$B$17:$C$23,2,FALSE))</f>
        <v/>
      </c>
      <c r="I11" s="530"/>
      <c r="J11" s="530"/>
      <c r="K11" s="530"/>
      <c r="L11" s="530"/>
      <c r="M11" s="530"/>
      <c r="N11" s="530"/>
      <c r="O11" s="530"/>
      <c r="P11" s="530"/>
      <c r="Q11" s="530"/>
      <c r="R11" s="530"/>
      <c r="S11" s="530"/>
      <c r="T11" s="120"/>
      <c r="U11" s="121"/>
      <c r="V11" s="114"/>
      <c r="AD11" s="92" t="s">
        <v>1032</v>
      </c>
      <c r="AE11" s="93" t="e">
        <f>IF($AE$8=0,0,IF($AE$8&lt;HLOOKUP($AE$10,A!$BA$8:$BE$10,3),$AE$9/(1+EXP(-HLOOKUP($AE$10,A!$BA$8:$BE$11,4)*($AE$8-HLOOKUP($AE$10,A!$BA$8:$BE$12,5)))),$AE$9/(1+EXP(-HLOOKUP($AE$10,A!$BA$8:$BE$9,2)*($AE$8-HLOOKUP($AE$10,A!$BA$8:$BE$10,3))))))</f>
        <v>#N/A</v>
      </c>
      <c r="AG11" s="65">
        <v>5</v>
      </c>
      <c r="AH11" s="66" t="e">
        <f>"da "&amp;ROUND(AN15,1)&amp;" pedoni/settimana a "&amp;ROUND(AN13,1)&amp;"  pedoni/giorno"</f>
        <v>#DIV/0!</v>
      </c>
      <c r="AI11" s="45"/>
      <c r="AJ11" s="45"/>
      <c r="AK11" s="45"/>
      <c r="AL11" s="45"/>
      <c r="AM11" s="72" t="s">
        <v>18</v>
      </c>
      <c r="AN11" s="73" t="e">
        <f>AN$6/500*24</f>
        <v>#DIV/0!</v>
      </c>
      <c r="AO11" s="73" t="e">
        <f>AO$6/500*24</f>
        <v>#DIV/0!</v>
      </c>
      <c r="AP11" s="101"/>
      <c r="AQ11" s="45"/>
      <c r="AR11" s="45"/>
      <c r="AS11" s="44"/>
      <c r="AT11" s="44"/>
      <c r="AU11" s="45"/>
      <c r="AV11" s="44"/>
      <c r="AW11" s="44"/>
      <c r="AX11" s="44"/>
      <c r="AY11" s="44"/>
      <c r="AZ11" s="44"/>
      <c r="BA11" s="44"/>
      <c r="BB11" s="44"/>
      <c r="BC11" s="44"/>
      <c r="BD11" s="83" t="str">
        <f>IF(BD5="proprietà",BD34,IF(BD5="occupazione",BD44,IF(BD5="pedoni/ciclisti",AH11,IF(BD5="traffico 30 Km/h",AH61,IF(BD5="traffico 50 km/h",AH53,IF(BD5="traffico 70 Km/h",AH45,IF(BD5="traffico 90 Km/h",AH37,IF(BD5="traffico 110 km/h",AH29, " "))))))))</f>
        <v xml:space="preserve"> </v>
      </c>
      <c r="BE11" s="49">
        <v>5</v>
      </c>
      <c r="BF11" s="49"/>
    </row>
    <row r="12" spans="1:63" ht="15" customHeight="1" thickBot="1" x14ac:dyDescent="0.35">
      <c r="B12" s="123" t="s">
        <v>1591</v>
      </c>
      <c r="C12" s="124"/>
      <c r="D12" s="124"/>
      <c r="E12" s="537"/>
      <c r="F12" s="537"/>
      <c r="G12" s="538"/>
      <c r="H12" s="539" t="str">
        <f>IF(E12="","",VLOOKUP(E12,A!$B$17:$C$23,2,FALSE))</f>
        <v/>
      </c>
      <c r="I12" s="539"/>
      <c r="J12" s="539"/>
      <c r="K12" s="539"/>
      <c r="L12" s="539"/>
      <c r="M12" s="539"/>
      <c r="N12" s="539"/>
      <c r="O12" s="539"/>
      <c r="P12" s="539"/>
      <c r="Q12" s="539"/>
      <c r="R12" s="539"/>
      <c r="S12" s="539"/>
      <c r="T12" s="120"/>
      <c r="U12" s="121"/>
      <c r="V12" s="114"/>
      <c r="AA12" s="18" t="s">
        <v>1050</v>
      </c>
      <c r="AB12" s="19" t="e">
        <f>VLOOKUP(#REF!,A!$AU$35:$AV$45,2,FALSE)</f>
        <v>#REF!</v>
      </c>
      <c r="AD12" s="92" t="s">
        <v>1033</v>
      </c>
      <c r="AE12" s="96" t="e">
        <f>$AE$11-$AE$11*($AB$12/100)</f>
        <v>#N/A</v>
      </c>
      <c r="AG12" s="65">
        <v>6</v>
      </c>
      <c r="AH12" s="66" t="e">
        <f>"da "&amp;ROUND(AN17,1)&amp;" pedoni/anno a "&amp;ROUND(AN15,1)&amp;"  pedoni/settimana"</f>
        <v>#DIV/0!</v>
      </c>
      <c r="AI12" s="45"/>
      <c r="AJ12" s="45"/>
      <c r="AK12" s="45"/>
      <c r="AL12" s="72"/>
      <c r="AM12" s="72" t="s">
        <v>12</v>
      </c>
      <c r="AN12" s="111" t="e">
        <f>AN10/10</f>
        <v>#DIV/0!</v>
      </c>
      <c r="AO12" s="111" t="e">
        <f>AO10/10</f>
        <v>#DIV/0!</v>
      </c>
      <c r="AP12" s="101"/>
      <c r="AQ12" s="45"/>
      <c r="AR12" s="45"/>
      <c r="AS12" s="44"/>
      <c r="AT12" s="44"/>
      <c r="AU12" s="45"/>
      <c r="AV12" s="44"/>
      <c r="AW12" s="44"/>
      <c r="AX12" s="44"/>
      <c r="AY12" s="44"/>
      <c r="AZ12" s="44"/>
      <c r="BA12" s="44"/>
      <c r="BB12" s="44"/>
      <c r="BC12" s="44"/>
      <c r="BD12" s="83" t="str">
        <f>IF(BD5="proprietà",BD35,IF(BD5="occupazione",BD45,IF(BD5="pedoni/ciclisti",AH12,IF(BD5="traffico 30 Km/h",AH62,IF(BD5="traffico 50 km/h",AH54,IF(BD5="traffico 70 Km/h",AH46,IF(BD5="traffico 90 Km/h",AH38,IF(BD5="traffico 110 km/h",AH30, " "))))))))</f>
        <v xml:space="preserve"> </v>
      </c>
      <c r="BE12" s="49">
        <v>6</v>
      </c>
      <c r="BF12" s="49"/>
    </row>
    <row r="13" spans="1:63" ht="15" customHeight="1" thickBot="1" x14ac:dyDescent="0.35">
      <c r="B13" s="123" t="s">
        <v>1592</v>
      </c>
      <c r="C13" s="124"/>
      <c r="D13" s="124"/>
      <c r="E13" s="540"/>
      <c r="F13" s="540"/>
      <c r="G13" s="540"/>
      <c r="H13" s="541" t="str">
        <f>IF(E13="","",VLOOKUP(E13,A!$B$17:$C$23,2,FALSE))</f>
        <v/>
      </c>
      <c r="I13" s="541"/>
      <c r="J13" s="541"/>
      <c r="K13" s="541"/>
      <c r="L13" s="541"/>
      <c r="M13" s="541"/>
      <c r="N13" s="541"/>
      <c r="O13" s="541"/>
      <c r="P13" s="541"/>
      <c r="Q13" s="541"/>
      <c r="R13" s="541"/>
      <c r="S13" s="541"/>
      <c r="T13" s="120"/>
      <c r="U13" s="121"/>
      <c r="V13" s="114"/>
      <c r="AG13" s="65">
        <v>7</v>
      </c>
      <c r="AH13" s="66" t="e">
        <f>"da "&amp;ROUND(AN18,1)&amp;"  a "&amp;ROUND(AN17,1)&amp;"  pedoni/anno"</f>
        <v>#DIV/0!</v>
      </c>
      <c r="AI13" s="45"/>
      <c r="AJ13" s="45"/>
      <c r="AK13" s="45"/>
      <c r="AL13" s="45"/>
      <c r="AM13" s="72" t="s">
        <v>19</v>
      </c>
      <c r="AN13" s="73" t="e">
        <f>AN$6/5000*24</f>
        <v>#DIV/0!</v>
      </c>
      <c r="AO13" s="73" t="e">
        <f>AO$6/5000*24</f>
        <v>#DIV/0!</v>
      </c>
      <c r="AP13" s="101"/>
      <c r="AQ13" s="45"/>
      <c r="AR13" s="45"/>
      <c r="AS13" s="44"/>
      <c r="AT13" s="44"/>
      <c r="AU13" s="45"/>
      <c r="AV13" s="44"/>
      <c r="AW13" s="44"/>
      <c r="AX13" s="44"/>
      <c r="AY13" s="44"/>
      <c r="AZ13" s="44"/>
      <c r="BA13" s="44"/>
      <c r="BB13" s="44"/>
      <c r="BC13" s="44"/>
      <c r="BD13" s="103" t="str">
        <f>IF(BD5="proprietà",BD36,IF(BD5="occupazione",BD46,IF(BD5="pedoni/ciclisti",AH13,IF(BD5="traffico 30 Km/h",AH63,IF(BD5="traffico 50 km/h",AH55,IF(BD5="traffico 70 Km/h",AH47,IF(BD5="traffico 90 Km/h",AH39,IF(BD5="traffico 110 km/h",AH31, " "))))))))</f>
        <v xml:space="preserve"> </v>
      </c>
      <c r="BE13" s="104">
        <v>7</v>
      </c>
      <c r="BF13" s="49"/>
      <c r="BI13" s="60"/>
    </row>
    <row r="14" spans="1:63" ht="15" customHeight="1" thickBot="1" x14ac:dyDescent="0.35">
      <c r="B14" s="134" t="s">
        <v>1593</v>
      </c>
      <c r="C14" s="135"/>
      <c r="D14" s="135"/>
      <c r="E14" s="542"/>
      <c r="F14" s="542"/>
      <c r="G14" s="543"/>
      <c r="H14" s="544" t="str">
        <f>IF(E14="","",VLOOKUP(E14,A!$B$17:$C$23,2,FALSE))</f>
        <v/>
      </c>
      <c r="I14" s="544"/>
      <c r="J14" s="544"/>
      <c r="K14" s="544"/>
      <c r="L14" s="544"/>
      <c r="M14" s="544"/>
      <c r="N14" s="544"/>
      <c r="O14" s="544"/>
      <c r="P14" s="544"/>
      <c r="Q14" s="544"/>
      <c r="R14" s="544"/>
      <c r="S14" s="544"/>
      <c r="T14" s="136"/>
      <c r="U14" s="137"/>
      <c r="V14" s="114"/>
      <c r="AA14" s="20"/>
      <c r="AB14" s="20"/>
      <c r="AC14" s="20"/>
      <c r="AD14" s="41"/>
      <c r="AG14" s="65"/>
      <c r="AH14" s="66"/>
      <c r="AI14" s="45"/>
      <c r="AJ14" s="45"/>
      <c r="AK14" s="45"/>
      <c r="AL14" s="72"/>
      <c r="AM14" s="72" t="s">
        <v>13</v>
      </c>
      <c r="AN14" s="111" t="e">
        <f>AN12/10</f>
        <v>#DIV/0!</v>
      </c>
      <c r="AO14" s="111" t="e">
        <f>AO12/10</f>
        <v>#DIV/0!</v>
      </c>
      <c r="AP14" s="101"/>
      <c r="AQ14" s="45"/>
      <c r="AR14" s="45"/>
      <c r="AS14" s="44"/>
      <c r="AT14" s="44"/>
      <c r="AU14" s="45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105"/>
    </row>
    <row r="15" spans="1:63" ht="15" customHeight="1" x14ac:dyDescent="0.3">
      <c r="B15" s="548" t="s">
        <v>1589</v>
      </c>
      <c r="C15" s="549"/>
      <c r="D15" s="549"/>
      <c r="E15" s="549"/>
      <c r="F15" s="549"/>
      <c r="G15" s="549"/>
      <c r="H15" s="549"/>
      <c r="I15" s="549"/>
      <c r="J15" s="549"/>
      <c r="K15" s="549"/>
      <c r="L15" s="549"/>
      <c r="M15" s="549"/>
      <c r="N15" s="549"/>
      <c r="O15" s="549"/>
      <c r="P15" s="549"/>
      <c r="Q15" s="549"/>
      <c r="R15" s="549"/>
      <c r="S15" s="549"/>
      <c r="T15" s="549"/>
      <c r="U15" s="550"/>
      <c r="V15" s="114"/>
      <c r="AA15" s="102"/>
      <c r="AB15" s="102"/>
      <c r="AC15" s="102"/>
      <c r="AD15" s="56"/>
      <c r="AG15" s="70"/>
      <c r="AH15" s="66" t="s">
        <v>180</v>
      </c>
      <c r="AI15" s="45"/>
      <c r="AJ15" s="45"/>
      <c r="AK15" s="45"/>
      <c r="AL15" s="45"/>
      <c r="AM15" s="72" t="s">
        <v>20</v>
      </c>
      <c r="AN15" s="73" t="e">
        <f>AN$6/50000*24*7</f>
        <v>#DIV/0!</v>
      </c>
      <c r="AO15" s="73" t="e">
        <f>AO$6/50000*24*7</f>
        <v>#DIV/0!</v>
      </c>
      <c r="AP15" s="107"/>
      <c r="AQ15" s="45"/>
      <c r="AR15" s="45"/>
      <c r="AS15" s="44"/>
      <c r="AT15" s="44"/>
      <c r="AU15" s="45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105"/>
    </row>
    <row r="16" spans="1:63" ht="15" customHeight="1" thickBot="1" x14ac:dyDescent="0.35">
      <c r="B16" s="140"/>
      <c r="C16" s="551" t="s">
        <v>1241</v>
      </c>
      <c r="D16" s="551"/>
      <c r="E16" s="551"/>
      <c r="F16" s="551"/>
      <c r="G16" s="551"/>
      <c r="H16" s="551"/>
      <c r="I16" s="141" t="s">
        <v>1183</v>
      </c>
      <c r="J16" s="552" t="s">
        <v>1240</v>
      </c>
      <c r="K16" s="553"/>
      <c r="L16" s="554"/>
      <c r="M16" s="142"/>
      <c r="N16" s="551" t="s">
        <v>1595</v>
      </c>
      <c r="O16" s="551"/>
      <c r="P16" s="551"/>
      <c r="Q16" s="551"/>
      <c r="R16" s="141" t="s">
        <v>1183</v>
      </c>
      <c r="S16" s="552" t="s">
        <v>1240</v>
      </c>
      <c r="T16" s="553"/>
      <c r="U16" s="555"/>
      <c r="V16" s="114"/>
      <c r="AA16" s="102"/>
      <c r="AB16" s="102"/>
      <c r="AC16" s="102"/>
      <c r="AD16" s="69"/>
      <c r="AG16" s="65">
        <v>1</v>
      </c>
      <c r="AH16" s="66" t="e">
        <f>"da "&amp;ROUND(AO7,0)&amp;" a "&amp;ROUND(AO6,0)&amp;"  pedoni/ora"</f>
        <v>#DIV/0!</v>
      </c>
      <c r="AI16" s="45"/>
      <c r="AJ16" s="45"/>
      <c r="AK16" s="45"/>
      <c r="AL16" s="72"/>
      <c r="AM16" s="72" t="s">
        <v>14</v>
      </c>
      <c r="AN16" s="111" t="e">
        <f>AN14/10</f>
        <v>#DIV/0!</v>
      </c>
      <c r="AO16" s="111" t="e">
        <f>AO14/10</f>
        <v>#DIV/0!</v>
      </c>
      <c r="AP16" s="107"/>
      <c r="AQ16" s="45"/>
      <c r="AR16" s="45"/>
      <c r="AS16" s="44"/>
      <c r="AT16" s="44"/>
      <c r="AU16" s="45"/>
      <c r="AV16" s="44"/>
      <c r="AW16" s="44"/>
      <c r="AX16" s="44"/>
      <c r="AY16" s="44"/>
      <c r="AZ16" s="44"/>
      <c r="BA16" s="44"/>
      <c r="BB16" s="44"/>
      <c r="BC16" s="44"/>
      <c r="BD16" s="47" t="s">
        <v>1630</v>
      </c>
      <c r="BE16" s="48"/>
      <c r="BF16" s="49"/>
      <c r="BI16" s="60"/>
    </row>
    <row r="17" spans="2:66" ht="15" customHeight="1" x14ac:dyDescent="0.3">
      <c r="B17" s="147"/>
      <c r="C17" s="556"/>
      <c r="D17" s="556"/>
      <c r="E17" s="556"/>
      <c r="F17" s="556"/>
      <c r="G17" s="556"/>
      <c r="H17" s="556"/>
      <c r="I17" s="557" t="e">
        <f>VLOOKUP(C18,BD7:BE13,2,FALSE)</f>
        <v>#N/A</v>
      </c>
      <c r="J17" s="559" t="s">
        <v>466</v>
      </c>
      <c r="K17" s="560"/>
      <c r="L17" s="149" t="s">
        <v>1183</v>
      </c>
      <c r="M17" s="150"/>
      <c r="N17" s="556"/>
      <c r="O17" s="556"/>
      <c r="P17" s="556"/>
      <c r="Q17" s="556"/>
      <c r="R17" s="557" t="e">
        <f>VLOOKUP(M18,BD20:BE26,2,FALSE)</f>
        <v>#N/A</v>
      </c>
      <c r="S17" s="148" t="s">
        <v>466</v>
      </c>
      <c r="T17" s="560" t="s">
        <v>1183</v>
      </c>
      <c r="U17" s="561"/>
      <c r="V17" s="114"/>
      <c r="AA17" s="102"/>
      <c r="AB17" s="102"/>
      <c r="AC17" s="102"/>
      <c r="AG17" s="65">
        <v>2</v>
      </c>
      <c r="AH17" s="66" t="e">
        <f>"da "&amp;ROUND(AO9,0)&amp;" a "&amp;ROUND(AO7,0)&amp;"  pedoni/ora"</f>
        <v>#DIV/0!</v>
      </c>
      <c r="AI17" s="45"/>
      <c r="AJ17" s="45"/>
      <c r="AK17" s="45"/>
      <c r="AL17" s="45"/>
      <c r="AM17" s="72" t="s">
        <v>21</v>
      </c>
      <c r="AN17" s="73" t="e">
        <f>AN$6/500000*24*365</f>
        <v>#DIV/0!</v>
      </c>
      <c r="AO17" s="73" t="e">
        <f>AO$6/500000*24*365</f>
        <v>#DIV/0!</v>
      </c>
      <c r="AP17" s="107"/>
      <c r="AQ17" s="45"/>
      <c r="AR17" s="45"/>
      <c r="AS17" s="45"/>
      <c r="AT17" s="45"/>
      <c r="AU17" s="45"/>
      <c r="AV17" s="45"/>
      <c r="AW17" s="44"/>
      <c r="AX17" s="44"/>
      <c r="AY17" s="44"/>
      <c r="AZ17" s="44"/>
      <c r="BA17" s="44"/>
      <c r="BB17" s="44"/>
      <c r="BC17" s="44"/>
      <c r="BD17" s="59" t="s">
        <v>1629</v>
      </c>
      <c r="BE17" s="49"/>
      <c r="BF17" s="49"/>
      <c r="BI17" s="106"/>
    </row>
    <row r="18" spans="2:66" ht="15" customHeight="1" thickBot="1" x14ac:dyDescent="0.35">
      <c r="B18" s="291"/>
      <c r="C18" s="562"/>
      <c r="D18" s="562"/>
      <c r="E18" s="562"/>
      <c r="F18" s="562"/>
      <c r="G18" s="562"/>
      <c r="H18" s="562"/>
      <c r="I18" s="558"/>
      <c r="J18" s="563" t="str">
        <f>IF(OR($T$9="",$J$9=""),"err",((PI()/4*(($H$9/100)/PI())^2*$C$9*0.75*900)*(SQRT(3*9.8*($C$9-$T$9)))))</f>
        <v>err</v>
      </c>
      <c r="K18" s="564"/>
      <c r="L18" s="153" t="str">
        <f>IF(J18="err","",IF(J18&lt;5,7,IF(J18&lt;10,6,IF(J18&lt;50,5,IF(J18&lt;100,4,IF(J18&lt;1000,3,IF(J18&lt;10000,2,1)))))))</f>
        <v/>
      </c>
      <c r="M18" s="565"/>
      <c r="N18" s="562"/>
      <c r="O18" s="562"/>
      <c r="P18" s="562"/>
      <c r="Q18" s="562"/>
      <c r="R18" s="558"/>
      <c r="S18" s="154" t="str">
        <f>IF(OR($E$11="",$M$9="",$O$9="",$R$9=""),"err",((PI()/4*($M$9/100)^2*$O$9*0.75*900)*(SQRT(2*9.8*($R$9-$T$9)))))</f>
        <v>err</v>
      </c>
      <c r="T18" s="558" t="str">
        <f>IF(S18="err","",IF(S18="N.S.","-",IF(S18&lt;5,7,IF(S18&lt;10,6,IF(S18&lt;50,5,IF(S18&lt;100,4,IF(S18&lt;1000,3,IF(S18&lt;10000,2,1))))))))</f>
        <v/>
      </c>
      <c r="U18" s="566"/>
      <c r="V18" s="114"/>
      <c r="AA18" s="102"/>
      <c r="AB18" s="102"/>
      <c r="AC18" s="102"/>
      <c r="AG18" s="65">
        <v>3</v>
      </c>
      <c r="AH18" s="66" t="e">
        <f>"da "&amp;ROUND(AO11,0)&amp;" pedoni/giorno a "&amp;ROUND(AO9,0)&amp;"  pedoni/ora"</f>
        <v>#DIV/0!</v>
      </c>
      <c r="AI18" s="45"/>
      <c r="AJ18" s="45"/>
      <c r="AK18" s="45"/>
      <c r="AL18" s="72"/>
      <c r="AM18" s="72" t="s">
        <v>15</v>
      </c>
      <c r="AN18" s="73" t="e">
        <f>AN16/10*24*365</f>
        <v>#DIV/0!</v>
      </c>
      <c r="AO18" s="73" t="e">
        <f>AO16/10*24*365</f>
        <v>#DIV/0!</v>
      </c>
      <c r="AP18" s="107"/>
      <c r="AQ18" s="45"/>
      <c r="AR18" s="45"/>
      <c r="AS18" s="45"/>
      <c r="AT18" s="45"/>
      <c r="AU18" s="45"/>
      <c r="AV18" s="45"/>
      <c r="AW18" s="44"/>
      <c r="AX18" s="44"/>
      <c r="AY18" s="44"/>
      <c r="AZ18" s="44"/>
      <c r="BA18" s="44"/>
      <c r="BB18" s="44"/>
      <c r="BC18" s="44"/>
      <c r="BD18" s="67">
        <f>'TRG-P'!$N$17</f>
        <v>0</v>
      </c>
      <c r="BE18" s="49"/>
      <c r="BF18" s="49"/>
      <c r="BI18" s="60"/>
    </row>
    <row r="19" spans="2:66" ht="15" customHeight="1" thickBot="1" x14ac:dyDescent="0.35">
      <c r="B19" s="545" t="s">
        <v>1578</v>
      </c>
      <c r="C19" s="546"/>
      <c r="D19" s="546"/>
      <c r="E19" s="546"/>
      <c r="F19" s="546"/>
      <c r="G19" s="546"/>
      <c r="H19" s="546"/>
      <c r="I19" s="546"/>
      <c r="J19" s="546"/>
      <c r="K19" s="546"/>
      <c r="L19" s="546"/>
      <c r="M19" s="546"/>
      <c r="N19" s="546"/>
      <c r="O19" s="546"/>
      <c r="P19" s="546"/>
      <c r="Q19" s="546"/>
      <c r="R19" s="546"/>
      <c r="S19" s="546"/>
      <c r="T19" s="546"/>
      <c r="U19" s="547"/>
      <c r="V19" s="114"/>
      <c r="W19" s="114"/>
      <c r="X19" s="114"/>
      <c r="Y19" s="114"/>
      <c r="AB19" s="92" t="s">
        <v>1169</v>
      </c>
      <c r="AD19" s="102"/>
      <c r="AE19" s="102"/>
      <c r="AF19" s="102"/>
      <c r="AG19" s="65">
        <v>4</v>
      </c>
      <c r="AH19" s="66" t="e">
        <f>"da "&amp;ROUND(AO13,1)&amp;" a "&amp;ROUND(AO11,1)&amp;"  pedoni/giorno"</f>
        <v>#DIV/0!</v>
      </c>
      <c r="AI19" s="45"/>
      <c r="AJ19" s="45"/>
      <c r="AK19" s="45"/>
      <c r="AL19" s="45"/>
      <c r="AM19" s="44"/>
      <c r="AN19" s="44"/>
      <c r="AO19" s="44"/>
      <c r="AP19" s="45"/>
      <c r="AQ19" s="45"/>
      <c r="AR19" s="45"/>
      <c r="AS19" s="45"/>
      <c r="AT19" s="45"/>
      <c r="AU19" s="45"/>
      <c r="AV19" s="45"/>
      <c r="AW19" s="44"/>
      <c r="AX19" s="44"/>
      <c r="AY19" s="44"/>
      <c r="AZ19" s="44"/>
      <c r="BA19" s="44"/>
      <c r="BB19" s="44"/>
      <c r="BC19" s="44"/>
      <c r="BD19" s="59" t="s">
        <v>1627</v>
      </c>
      <c r="BE19" s="74" t="s">
        <v>1628</v>
      </c>
      <c r="BF19" s="74"/>
    </row>
    <row r="20" spans="2:66" ht="15" customHeight="1" thickBot="1" x14ac:dyDescent="0.35">
      <c r="B20" s="567" t="s">
        <v>1585</v>
      </c>
      <c r="C20" s="568"/>
      <c r="D20" s="568"/>
      <c r="E20" s="569" t="str">
        <f>IF(AB20="x","",AB20)</f>
        <v/>
      </c>
      <c r="F20" s="569"/>
      <c r="G20" s="570" t="str">
        <f>IF(E11="","",VLOOKUP(AB20,A!$AP$24:$AQ$41,2,FALSE))</f>
        <v/>
      </c>
      <c r="H20" s="570"/>
      <c r="I20" s="570"/>
      <c r="J20" s="570"/>
      <c r="K20" s="570"/>
      <c r="L20" s="570"/>
      <c r="M20" s="570"/>
      <c r="N20" s="570"/>
      <c r="O20" s="570"/>
      <c r="P20" s="570"/>
      <c r="Q20" s="292"/>
      <c r="R20" s="571" t="str">
        <f>IF(E20="","",VLOOKUP(AA25,A!AP42:AQ47,2,FALSE))</f>
        <v/>
      </c>
      <c r="S20" s="571"/>
      <c r="T20" s="571"/>
      <c r="U20" s="572"/>
      <c r="V20" s="114"/>
      <c r="W20" s="114"/>
      <c r="X20" s="114"/>
      <c r="Y20" s="114"/>
      <c r="Z20" s="3" t="e">
        <f>IF(E11="-","dato assente",VLOOKUP(E20,$AA$26:$AB$43,2,FALSE))</f>
        <v>#N/A</v>
      </c>
      <c r="AA20" s="293" t="e">
        <f>$R$17&amp;$T$18&amp;$E11</f>
        <v>#N/A</v>
      </c>
      <c r="AB20" s="88" t="str">
        <f>IF(E11=0,"x",VLOOKUP(AA20,A!$AM$4:$AN$346,2,FALSE))</f>
        <v>x</v>
      </c>
      <c r="AD20" s="102"/>
      <c r="AG20" s="65">
        <v>5</v>
      </c>
      <c r="AH20" s="66" t="e">
        <f>"da "&amp;ROUND(AO15,1)&amp;" pedoni/settimana a "&amp;ROUND(AO13,1)&amp;"  pedoni/giorno"</f>
        <v>#DIV/0!</v>
      </c>
      <c r="AI20" s="45"/>
      <c r="AJ20" s="45"/>
      <c r="AK20" s="45"/>
      <c r="AL20" s="45"/>
      <c r="AM20" s="45"/>
      <c r="AN20" s="111"/>
      <c r="AO20" s="111"/>
      <c r="AP20" s="45"/>
      <c r="AQ20" s="45"/>
      <c r="AR20" s="45"/>
      <c r="AS20" s="45"/>
      <c r="AT20" s="45"/>
      <c r="AU20" s="45"/>
      <c r="AV20" s="45"/>
      <c r="AW20" s="44"/>
      <c r="AX20" s="44"/>
      <c r="AY20" s="44"/>
      <c r="AZ20" s="44"/>
      <c r="BA20" s="44"/>
      <c r="BB20" s="44"/>
      <c r="BC20" s="44"/>
      <c r="BD20" s="83" t="str">
        <f>IF(BD18="proprietà",BD30,IF(BD18="occupazione",BD40,IF(BD18="pedoni/ciclisti",AH16,IF(BD18="traffico 30 Km/h",AL57,IF(BD18="traffico 50 km/h",AL49,IF(BD18="traffico 70 Km/h",AL41,IF(BD18="traffico 90 Km/h",AL33,IF(BD18="traffico 110 km/h",AL25, " "))))))))</f>
        <v xml:space="preserve"> </v>
      </c>
      <c r="BE20" s="49">
        <v>1</v>
      </c>
      <c r="BF20" s="49"/>
    </row>
    <row r="21" spans="2:66" ht="15" customHeight="1" thickBot="1" x14ac:dyDescent="0.35">
      <c r="B21" s="575" t="s">
        <v>1586</v>
      </c>
      <c r="C21" s="576"/>
      <c r="D21" s="576"/>
      <c r="E21" s="577" t="str">
        <f>IF(AB21="x","",AB21)</f>
        <v/>
      </c>
      <c r="F21" s="577"/>
      <c r="G21" s="578" t="str">
        <f>IF(E12="","",VLOOKUP(AB21,A!$AP$24:$AQ$41,2,FALSE))</f>
        <v/>
      </c>
      <c r="H21" s="578"/>
      <c r="I21" s="578"/>
      <c r="J21" s="578"/>
      <c r="K21" s="578"/>
      <c r="L21" s="578"/>
      <c r="M21" s="578"/>
      <c r="N21" s="578"/>
      <c r="O21" s="578"/>
      <c r="P21" s="578"/>
      <c r="Q21" s="292"/>
      <c r="R21" s="571"/>
      <c r="S21" s="571"/>
      <c r="T21" s="571"/>
      <c r="U21" s="572"/>
      <c r="V21" s="114"/>
      <c r="W21" s="114"/>
      <c r="X21" s="114"/>
      <c r="Y21" s="114"/>
      <c r="Z21" s="3" t="e">
        <f>IF(E12="-","dato assente",VLOOKUP(E21,$AA$26:$AB$43,2,FALSE))</f>
        <v>#N/A</v>
      </c>
      <c r="AA21" s="165" t="e">
        <f>$I$17&amp;$L$18&amp;$E12</f>
        <v>#N/A</v>
      </c>
      <c r="AB21" s="166" t="str">
        <f>IF(E12=0,"x",VLOOKUP(AA21,A!$AM$4:$AN$346,2,FALSE))</f>
        <v>x</v>
      </c>
      <c r="AD21" s="102"/>
      <c r="AG21" s="65">
        <v>6</v>
      </c>
      <c r="AH21" s="66" t="e">
        <f>"da "&amp;ROUND(AO17,1)&amp;" pedoni/anno a "&amp;ROUND(AO15,1)&amp;"  pedoni/settimana"</f>
        <v>#DIV/0!</v>
      </c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4"/>
      <c r="AX21" s="44"/>
      <c r="AY21" s="44"/>
      <c r="AZ21" s="44"/>
      <c r="BA21" s="44"/>
      <c r="BB21" s="44"/>
      <c r="BC21" s="44"/>
      <c r="BD21" s="83" t="str">
        <f>IF(BD18="proprietà",BD31,IF(BD18="occupazione",BD41,IF(BD18="pedoni/ciclisti",AH17,IF(BD18="traffico 30 Km/h",AL58,IF(BD18="traffico 50 km/h",AL50,IF(BD18="traffico 70 Km/h",AL42,IF(BD18="traffico 90 Km/h",AL34,IF(BD18="traffico 110 km/h",AL26, " "))))))))</f>
        <v xml:space="preserve"> </v>
      </c>
      <c r="BE21" s="49">
        <v>2</v>
      </c>
      <c r="BF21" s="49"/>
    </row>
    <row r="22" spans="2:66" ht="15" customHeight="1" thickBot="1" x14ac:dyDescent="0.35">
      <c r="B22" s="575" t="s">
        <v>169</v>
      </c>
      <c r="C22" s="576"/>
      <c r="D22" s="576"/>
      <c r="E22" s="577" t="str">
        <f>IF(AB22="x","",AB22)</f>
        <v/>
      </c>
      <c r="F22" s="577"/>
      <c r="G22" s="579" t="str">
        <f>IF(E13="","",VLOOKUP(AB22,A!$AP$24:$AQ$41,2,FALSE))</f>
        <v/>
      </c>
      <c r="H22" s="579"/>
      <c r="I22" s="579"/>
      <c r="J22" s="579"/>
      <c r="K22" s="579"/>
      <c r="L22" s="579"/>
      <c r="M22" s="579"/>
      <c r="N22" s="579"/>
      <c r="O22" s="579"/>
      <c r="P22" s="579"/>
      <c r="Q22" s="292"/>
      <c r="R22" s="571"/>
      <c r="S22" s="571"/>
      <c r="T22" s="571"/>
      <c r="U22" s="572"/>
      <c r="V22" s="114"/>
      <c r="W22" s="114"/>
      <c r="X22" s="114"/>
      <c r="Y22" s="114"/>
      <c r="Z22" s="3" t="e">
        <f>IF(E13="-","dato assente",VLOOKUP(E22,$AA$26:$AB$43,2,FALSE))</f>
        <v>#N/A</v>
      </c>
      <c r="AA22" s="165" t="e">
        <f>$I$17&amp;$L$18&amp;$E13</f>
        <v>#N/A</v>
      </c>
      <c r="AB22" s="166" t="str">
        <f>IF(E13=0,"x",VLOOKUP(AA22,A!$AM$4:$AN$346,2,FALSE))</f>
        <v>x</v>
      </c>
      <c r="AD22" s="102"/>
      <c r="AG22" s="65">
        <v>7</v>
      </c>
      <c r="AH22" s="66" t="e">
        <f>"da "&amp;ROUND(AO18,1)&amp;" a "&amp;ROUND(AO17,1)&amp;"  pedoni/anno"</f>
        <v>#DIV/0!</v>
      </c>
      <c r="AI22" s="45"/>
      <c r="AJ22" s="45"/>
      <c r="AK22" s="45"/>
      <c r="AL22" s="45"/>
      <c r="AM22" s="45"/>
      <c r="AN22" s="45"/>
      <c r="AO22" s="115"/>
      <c r="AP22" s="116" t="s">
        <v>1663</v>
      </c>
      <c r="AQ22" s="117">
        <v>1.3</v>
      </c>
      <c r="AR22" s="45"/>
      <c r="AS22" s="45"/>
      <c r="AT22" s="45"/>
      <c r="AU22" s="45"/>
      <c r="AV22" s="45"/>
      <c r="AW22" s="44"/>
      <c r="AX22" s="44"/>
      <c r="AY22" s="44"/>
      <c r="AZ22" s="44"/>
      <c r="BA22" s="44"/>
      <c r="BB22" s="44"/>
      <c r="BC22" s="44"/>
      <c r="BD22" s="83" t="str">
        <f>IF(BD18="proprietà",BD32,IF(BD18="occupazione",BD42,IF(BD18="pedoni/ciclisti",AH18,IF(BD18="traffico 30 Km/h",AL59,IF(BD18="traffico 50 km/h",AL51,IF(BD18="traffico 70 Km/h",AL43,IF(BD18="traffico 90 Km/h",AL35,IF(BD18="traffico 110 km/h",AL27, " "))))))))</f>
        <v xml:space="preserve"> </v>
      </c>
      <c r="BE22" s="49">
        <v>3</v>
      </c>
      <c r="BF22" s="49"/>
    </row>
    <row r="23" spans="2:66" ht="15" customHeight="1" thickBot="1" x14ac:dyDescent="0.35">
      <c r="B23" s="596" t="s">
        <v>1584</v>
      </c>
      <c r="C23" s="597"/>
      <c r="D23" s="597"/>
      <c r="E23" s="598" t="str">
        <f>IF(AB23="x","",AB23)</f>
        <v/>
      </c>
      <c r="F23" s="598"/>
      <c r="G23" s="599" t="str">
        <f>IF(E14="","",VLOOKUP(AB23,A!$AP$24:$AQ$41,2,FALSE))</f>
        <v/>
      </c>
      <c r="H23" s="599"/>
      <c r="I23" s="599"/>
      <c r="J23" s="599"/>
      <c r="K23" s="599"/>
      <c r="L23" s="599"/>
      <c r="M23" s="599"/>
      <c r="N23" s="599"/>
      <c r="O23" s="599"/>
      <c r="P23" s="599"/>
      <c r="Q23" s="294"/>
      <c r="R23" s="573"/>
      <c r="S23" s="573"/>
      <c r="T23" s="573"/>
      <c r="U23" s="574"/>
      <c r="V23" s="114"/>
      <c r="W23" s="114"/>
      <c r="X23" s="114"/>
      <c r="Y23" s="114"/>
      <c r="Z23" s="3" t="e">
        <f>IF(E14="-","dato assente",VLOOKUP(E23,$AA$26:$AB$43,2,FALSE))</f>
        <v>#N/A</v>
      </c>
      <c r="AA23" s="295" t="e">
        <f>$I$17&amp;$L$18&amp;LEFT($E14,1)</f>
        <v>#N/A</v>
      </c>
      <c r="AB23" s="29" t="str">
        <f>IF(E14=0,"x",VLOOKUP(AA23,A!$AM$4:$AN$346,2,FALSE))</f>
        <v>x</v>
      </c>
      <c r="AD23" s="102"/>
      <c r="AG23" s="65"/>
      <c r="AH23" s="66"/>
      <c r="AI23" s="45"/>
      <c r="AJ23" s="45"/>
      <c r="AK23" s="45"/>
      <c r="AL23" s="45"/>
      <c r="AM23" s="45"/>
      <c r="AN23" s="45"/>
      <c r="AO23" s="45"/>
      <c r="AP23" s="57" t="s">
        <v>184</v>
      </c>
      <c r="AQ23" s="46">
        <v>30</v>
      </c>
      <c r="AR23" s="46">
        <v>50</v>
      </c>
      <c r="AS23" s="46">
        <v>70</v>
      </c>
      <c r="AT23" s="46">
        <v>90</v>
      </c>
      <c r="AU23" s="46">
        <v>110</v>
      </c>
      <c r="AV23" s="46">
        <v>60</v>
      </c>
      <c r="AW23" s="44"/>
      <c r="AX23" s="44"/>
      <c r="AY23" s="44"/>
      <c r="AZ23" s="44"/>
      <c r="BA23" s="44"/>
      <c r="BB23" s="44"/>
      <c r="BC23" s="44"/>
      <c r="BD23" s="83" t="str">
        <f>IF(BD18="proprietà",BD33,IF(BD18="occupazione",BD43,IF(BD18="pedoni/ciclisti",AH19,IF(BD18="traffico 30 Km/h",AL60,IF(BD18="traffico 50 km/h",AL52,IF(BD18="traffico 70 Km/h",AL44,IF(BD18="traffico 90 Km/h",AL36,IF(BD18="traffico 110 km/h",AL28, " "))))))))</f>
        <v xml:space="preserve"> </v>
      </c>
      <c r="BE23" s="49">
        <v>4</v>
      </c>
      <c r="BF23" s="49"/>
    </row>
    <row r="24" spans="2:66" ht="6" customHeight="1" thickBot="1" x14ac:dyDescent="0.35">
      <c r="V24" s="114"/>
      <c r="W24" s="114"/>
      <c r="X24" s="114"/>
      <c r="Y24" s="114"/>
      <c r="AD24" s="102"/>
      <c r="AG24" s="65"/>
      <c r="AH24" s="46" t="s">
        <v>336</v>
      </c>
      <c r="AI24" s="45"/>
      <c r="AJ24" s="45"/>
      <c r="AK24" s="46"/>
      <c r="AL24" s="46" t="s">
        <v>337</v>
      </c>
      <c r="AM24" s="46"/>
      <c r="AN24" s="45"/>
      <c r="AO24" s="45"/>
      <c r="AP24" s="57" t="s">
        <v>185</v>
      </c>
      <c r="AQ24" s="193">
        <f t="shared" ref="AQ24:AV24" si="0">AQ23*1000/3600</f>
        <v>8.3333333333333339</v>
      </c>
      <c r="AR24" s="193">
        <f t="shared" si="0"/>
        <v>13.888888888888889</v>
      </c>
      <c r="AS24" s="193">
        <f t="shared" si="0"/>
        <v>19.444444444444443</v>
      </c>
      <c r="AT24" s="193">
        <f t="shared" si="0"/>
        <v>25</v>
      </c>
      <c r="AU24" s="193">
        <f t="shared" si="0"/>
        <v>30.555555555555557</v>
      </c>
      <c r="AV24" s="193">
        <f t="shared" si="0"/>
        <v>16.666666666666668</v>
      </c>
      <c r="AW24" s="44"/>
      <c r="AX24" s="44"/>
      <c r="AY24" s="44"/>
      <c r="AZ24" s="44"/>
      <c r="BA24" s="44"/>
      <c r="BB24" s="44"/>
      <c r="BC24" s="44"/>
      <c r="BD24" s="83" t="str">
        <f>IF(BD18="proprietà",BD34,IF(BD18="occupazione",BD44,IF(BD18="pedoni/ciclisti",AH20,IF(BD18="traffico 30 Km/h",AL61,IF(BD18="traffico 50 km/h",AL53,IF(BD18="traffico 70 Km/h",AL45,IF(BD18="traffico 90 Km/h",AL37,IF(BD18="traffico 110 km/h",AL29, " "))))))))</f>
        <v xml:space="preserve"> </v>
      </c>
      <c r="BE24" s="49">
        <v>5</v>
      </c>
      <c r="BF24" s="49"/>
    </row>
    <row r="25" spans="2:66" ht="15" customHeight="1" thickBot="1" x14ac:dyDescent="0.35">
      <c r="B25" s="600" t="s">
        <v>1576</v>
      </c>
      <c r="C25" s="601"/>
      <c r="D25" s="601"/>
      <c r="E25" s="601"/>
      <c r="F25" s="601"/>
      <c r="G25" s="601"/>
      <c r="H25" s="601"/>
      <c r="I25" s="601"/>
      <c r="J25" s="601"/>
      <c r="K25" s="601"/>
      <c r="L25" s="601"/>
      <c r="M25" s="601"/>
      <c r="N25" s="601"/>
      <c r="O25" s="601"/>
      <c r="P25" s="601"/>
      <c r="Q25" s="601"/>
      <c r="R25" s="601"/>
      <c r="S25" s="601"/>
      <c r="T25" s="601"/>
      <c r="U25" s="602"/>
      <c r="V25" s="114"/>
      <c r="W25" s="114"/>
      <c r="X25" s="114"/>
      <c r="Y25" s="114"/>
      <c r="AA25" s="296" t="e">
        <f>MIN(IF(Z20="",Z21:Z23,IF(Z21="",Z20+Z22+Z23,IF(Z22="",Z20+Z21+Z23,IF(Z23="",Z20:Z22,Z20:Z23)))))</f>
        <v>#N/A</v>
      </c>
      <c r="AD25" s="102"/>
      <c r="AG25" s="65">
        <v>1</v>
      </c>
      <c r="AH25" s="66" t="e">
        <f>"da "&amp;ROUND(AU30,0)&amp;" a "&amp;ROUND(AU29,0)&amp;" auto/giorno a 110 kmh"</f>
        <v>#DIV/0!</v>
      </c>
      <c r="AI25" s="45"/>
      <c r="AJ25" s="45"/>
      <c r="AK25" s="46">
        <v>1</v>
      </c>
      <c r="AL25" s="66" t="e">
        <f>"da "&amp;ROUND(AU52,0)&amp;" a "&amp;ROUND(AU51,0)&amp;" auto/giorno a 110 kmh"</f>
        <v>#DIV/0!</v>
      </c>
      <c r="AM25" s="66"/>
      <c r="AN25" s="45"/>
      <c r="AO25" s="45"/>
      <c r="AP25" s="57" t="s">
        <v>183</v>
      </c>
      <c r="AQ25" s="193">
        <f t="shared" ref="AQ25:AV25" si="1">AQ24^2/(2*9.8*0.5)</f>
        <v>7.0861678004535156</v>
      </c>
      <c r="AR25" s="193">
        <f t="shared" si="1"/>
        <v>19.683799445704206</v>
      </c>
      <c r="AS25" s="193">
        <f t="shared" si="1"/>
        <v>38.58024691358024</v>
      </c>
      <c r="AT25" s="193">
        <f t="shared" si="1"/>
        <v>63.775510204081627</v>
      </c>
      <c r="AU25" s="193">
        <f t="shared" si="1"/>
        <v>95.269589317208357</v>
      </c>
      <c r="AV25" s="193">
        <f t="shared" si="1"/>
        <v>28.344671201814062</v>
      </c>
      <c r="AW25" s="44"/>
      <c r="AX25" s="44"/>
      <c r="AY25" s="44"/>
      <c r="AZ25" s="44"/>
      <c r="BA25" s="44"/>
      <c r="BB25" s="44"/>
      <c r="BC25" s="44"/>
      <c r="BD25" s="83" t="str">
        <f>IF(BD18="proprietà",BD35,IF(BD18="occupazione",BD45,IF(BD18="pedoni/ciclisti",AH21,IF(BD18="traffico 30 Km/h",AL62,IF(BD18="traffico 50 km/h",AL54,IF(BD18="traffico 70 Km/h",AL46,IF(BD18="traffico 90 Km/h",AL38,IF(BD18="traffico 110 km/h",AL30, " "))))))))</f>
        <v xml:space="preserve"> </v>
      </c>
      <c r="BE25" s="49">
        <v>6</v>
      </c>
      <c r="BF25" s="49"/>
    </row>
    <row r="26" spans="2:66" ht="15" customHeight="1" x14ac:dyDescent="0.3">
      <c r="B26" s="603" t="s">
        <v>1574</v>
      </c>
      <c r="C26" s="580"/>
      <c r="D26" s="580"/>
      <c r="E26" s="580"/>
      <c r="F26" s="580"/>
      <c r="G26" s="580"/>
      <c r="H26" s="580"/>
      <c r="I26" s="580"/>
      <c r="J26" s="580" t="s">
        <v>122</v>
      </c>
      <c r="K26" s="580"/>
      <c r="L26" s="580" t="s">
        <v>1194</v>
      </c>
      <c r="M26" s="580"/>
      <c r="N26" s="580"/>
      <c r="O26" s="580" t="s">
        <v>122</v>
      </c>
      <c r="P26" s="580"/>
      <c r="Q26" s="580" t="s">
        <v>533</v>
      </c>
      <c r="R26" s="580"/>
      <c r="S26" s="580"/>
      <c r="T26" s="581" t="s">
        <v>1615</v>
      </c>
      <c r="U26" s="582"/>
      <c r="AA26" s="297" t="s">
        <v>495</v>
      </c>
      <c r="AB26" s="3">
        <v>1</v>
      </c>
      <c r="AD26" s="102"/>
      <c r="AG26" s="65">
        <v>2</v>
      </c>
      <c r="AH26" s="66" t="e">
        <f>"da "&amp;ROUND(AU32,0)&amp;" a "&amp;ROUND(AU30,0)&amp;" auto/giorno a 110 kmh"</f>
        <v>#DIV/0!</v>
      </c>
      <c r="AI26" s="45"/>
      <c r="AJ26" s="45"/>
      <c r="AK26" s="46">
        <v>2</v>
      </c>
      <c r="AL26" s="66" t="e">
        <f>"da "&amp;ROUND(AU54,0)&amp;" a "&amp;ROUND(AU52,0)&amp;" auto/giorno a 110 kmh"</f>
        <v>#DIV/0!</v>
      </c>
      <c r="AM26" s="66"/>
      <c r="AN26" s="45"/>
      <c r="AO26" s="45"/>
      <c r="AP26" s="57" t="s">
        <v>1694</v>
      </c>
      <c r="AQ26" s="122">
        <f t="shared" ref="AQ26:AV26" si="2">AQ25/AQ24</f>
        <v>0.85034013605442182</v>
      </c>
      <c r="AR26" s="122">
        <f t="shared" si="2"/>
        <v>1.4172335600907029</v>
      </c>
      <c r="AS26" s="122">
        <f t="shared" si="2"/>
        <v>1.984126984126984</v>
      </c>
      <c r="AT26" s="122">
        <f t="shared" si="2"/>
        <v>2.5510204081632653</v>
      </c>
      <c r="AU26" s="122">
        <f t="shared" si="2"/>
        <v>3.1179138321995459</v>
      </c>
      <c r="AV26" s="122">
        <f t="shared" si="2"/>
        <v>1.7006802721088436</v>
      </c>
      <c r="AW26" s="44"/>
      <c r="AX26" s="44"/>
      <c r="AY26" s="44"/>
      <c r="AZ26" s="44"/>
      <c r="BA26" s="44"/>
      <c r="BB26" s="44"/>
      <c r="BC26" s="44"/>
      <c r="BD26" s="103" t="str">
        <f>IF(BD18="proprietà",BD36,IF(BD18="occupazione",BD46,IF(BD18="pedoni/ciclisti",AH22,IF(BD18="traffico 30 Km/h",AL63,IF(BD18="traffico 50 km/h",AL55,IF(BD18="traffico 70 Km/h",AL47,IF(BD18="traffico 90 Km/h",AL39,IF(BD18="traffico 110 km/h",AL31, " "))))))))</f>
        <v xml:space="preserve"> </v>
      </c>
      <c r="BE26" s="104">
        <v>7</v>
      </c>
      <c r="BF26" s="49"/>
      <c r="BI26" s="60"/>
    </row>
    <row r="27" spans="2:66" ht="24" customHeight="1" x14ac:dyDescent="0.3">
      <c r="B27" s="583"/>
      <c r="C27" s="584"/>
      <c r="D27" s="584"/>
      <c r="E27" s="584"/>
      <c r="F27" s="584"/>
      <c r="G27" s="584"/>
      <c r="H27" s="584"/>
      <c r="I27" s="584"/>
      <c r="J27" s="585"/>
      <c r="K27" s="585"/>
      <c r="L27" s="584"/>
      <c r="M27" s="584"/>
      <c r="N27" s="584"/>
      <c r="O27" s="585"/>
      <c r="P27" s="585"/>
      <c r="Q27" s="584"/>
      <c r="R27" s="584"/>
      <c r="S27" s="584"/>
      <c r="T27" s="594"/>
      <c r="U27" s="595"/>
      <c r="V27" s="114"/>
      <c r="W27" s="114"/>
      <c r="X27" s="114"/>
      <c r="Y27" s="114"/>
      <c r="AA27" s="298" t="s">
        <v>496</v>
      </c>
      <c r="AB27" s="3">
        <v>1</v>
      </c>
      <c r="AD27" s="102"/>
      <c r="AG27" s="65">
        <v>3</v>
      </c>
      <c r="AH27" s="66" t="e">
        <f>"da "&amp;ROUND(AU34,0)&amp;" a "&amp;ROUND(AU32,0)&amp;" auto a 110 kmh"</f>
        <v>#DIV/0!</v>
      </c>
      <c r="AI27" s="45"/>
      <c r="AJ27" s="45"/>
      <c r="AK27" s="46">
        <v>3</v>
      </c>
      <c r="AL27" s="66" t="e">
        <f>"da "&amp;ROUND(AU56,0)&amp;" a "&amp;ROUND(AU54,0)&amp;" auto/giorno a 110 kmh"</f>
        <v>#DIV/0!</v>
      </c>
      <c r="AM27" s="66"/>
      <c r="AN27" s="45"/>
      <c r="AO27" s="45"/>
      <c r="AP27" s="57" t="s">
        <v>175</v>
      </c>
      <c r="AQ27" s="46">
        <f>($J$9+$C$9)/2</f>
        <v>0</v>
      </c>
      <c r="AR27" s="46">
        <f t="shared" ref="AR27:AV27" si="3">($J$9+$C$9)/2</f>
        <v>0</v>
      </c>
      <c r="AS27" s="46">
        <f t="shared" si="3"/>
        <v>0</v>
      </c>
      <c r="AT27" s="46">
        <f t="shared" si="3"/>
        <v>0</v>
      </c>
      <c r="AU27" s="46">
        <f t="shared" si="3"/>
        <v>0</v>
      </c>
      <c r="AV27" s="46">
        <f t="shared" si="3"/>
        <v>0</v>
      </c>
      <c r="AW27" s="44"/>
      <c r="AX27" s="44"/>
      <c r="AY27" s="44"/>
      <c r="AZ27" s="44"/>
      <c r="BA27" s="44"/>
      <c r="BB27" s="44"/>
      <c r="BC27" s="44"/>
      <c r="BD27" s="44"/>
      <c r="BE27" s="44"/>
      <c r="BF27" s="105"/>
    </row>
    <row r="28" spans="2:66" ht="24" customHeight="1" thickBot="1" x14ac:dyDescent="0.35">
      <c r="B28" s="589"/>
      <c r="C28" s="590"/>
      <c r="D28" s="590"/>
      <c r="E28" s="590"/>
      <c r="F28" s="590"/>
      <c r="G28" s="590"/>
      <c r="H28" s="590"/>
      <c r="I28" s="590"/>
      <c r="J28" s="591"/>
      <c r="K28" s="591"/>
      <c r="L28" s="590"/>
      <c r="M28" s="590"/>
      <c r="N28" s="590"/>
      <c r="O28" s="591"/>
      <c r="P28" s="591"/>
      <c r="Q28" s="590"/>
      <c r="R28" s="590"/>
      <c r="S28" s="590"/>
      <c r="T28" s="592"/>
      <c r="U28" s="593"/>
      <c r="AA28" s="299" t="s">
        <v>4</v>
      </c>
      <c r="AB28" s="3">
        <v>1</v>
      </c>
      <c r="AD28" s="102"/>
      <c r="AG28" s="65">
        <v>4</v>
      </c>
      <c r="AH28" s="66" t="e">
        <f>"da "&amp;ROUND(AU36,0)&amp;" a "&amp;ROUND(AU34,0)&amp;" auto/giorno a 110 kmh"</f>
        <v>#DIV/0!</v>
      </c>
      <c r="AI28" s="45"/>
      <c r="AJ28" s="45"/>
      <c r="AK28" s="46">
        <v>4</v>
      </c>
      <c r="AL28" s="66" t="e">
        <f>"da "&amp;ROUND(AU58,0)&amp;" a "&amp;ROUND(AU56,0)&amp;" auto/giorno a 110 kmh"</f>
        <v>#DIV/0!</v>
      </c>
      <c r="AM28" s="66"/>
      <c r="AN28" s="45"/>
      <c r="AO28" s="45"/>
      <c r="AP28" s="57" t="s">
        <v>1693</v>
      </c>
      <c r="AQ28" s="122">
        <f t="shared" ref="AQ28:AV28" si="4">AQ27/AQ24</f>
        <v>0</v>
      </c>
      <c r="AR28" s="122">
        <f t="shared" si="4"/>
        <v>0</v>
      </c>
      <c r="AS28" s="122">
        <f t="shared" si="4"/>
        <v>0</v>
      </c>
      <c r="AT28" s="122">
        <f t="shared" si="4"/>
        <v>0</v>
      </c>
      <c r="AU28" s="122">
        <f t="shared" si="4"/>
        <v>0</v>
      </c>
      <c r="AV28" s="122">
        <f t="shared" si="4"/>
        <v>0</v>
      </c>
      <c r="AW28" s="57" t="s">
        <v>184</v>
      </c>
      <c r="AX28" s="46">
        <v>30</v>
      </c>
      <c r="AY28" s="46">
        <v>50</v>
      </c>
      <c r="AZ28" s="46">
        <v>70</v>
      </c>
      <c r="BA28" s="46">
        <v>90</v>
      </c>
      <c r="BB28" s="46">
        <v>110</v>
      </c>
      <c r="BC28" s="44"/>
      <c r="BD28" s="44"/>
      <c r="BE28" s="44"/>
      <c r="BF28" s="105"/>
      <c r="BI28" s="60" t="s">
        <v>1641</v>
      </c>
      <c r="BN28" s="133"/>
    </row>
    <row r="29" spans="2:66" ht="6" customHeight="1" thickBot="1" x14ac:dyDescent="0.35">
      <c r="AA29" s="299" t="s">
        <v>497</v>
      </c>
      <c r="AB29" s="3">
        <v>1</v>
      </c>
      <c r="AD29" s="102"/>
      <c r="AG29" s="65">
        <v>5</v>
      </c>
      <c r="AH29" s="66" t="e">
        <f>"da "&amp;ROUND(AU38,1)&amp;" a "&amp;ROUND(AU36,0)&amp;" auto/giorno a 110 kmh"</f>
        <v>#DIV/0!</v>
      </c>
      <c r="AI29" s="45"/>
      <c r="AJ29" s="45"/>
      <c r="AK29" s="46">
        <v>5</v>
      </c>
      <c r="AL29" s="66" t="e">
        <f>"da "&amp;ROUND(AU60,1)&amp;" a "&amp;ROUND(AU58,0)&amp;" auto/giorno a 110 kmh"</f>
        <v>#DIV/0!</v>
      </c>
      <c r="AM29" s="66"/>
      <c r="AN29" s="45"/>
      <c r="AO29" s="45"/>
      <c r="AP29" s="143" t="s">
        <v>9</v>
      </c>
      <c r="AQ29" s="144" t="e">
        <f t="shared" ref="AQ29:AV29" si="5">MIN(86400/AQ26,86400/AQ28)/$AQ$22</f>
        <v>#DIV/0!</v>
      </c>
      <c r="AR29" s="144" t="e">
        <f t="shared" si="5"/>
        <v>#DIV/0!</v>
      </c>
      <c r="AS29" s="144" t="e">
        <f t="shared" si="5"/>
        <v>#DIV/0!</v>
      </c>
      <c r="AT29" s="144" t="e">
        <f t="shared" si="5"/>
        <v>#DIV/0!</v>
      </c>
      <c r="AU29" s="144" t="e">
        <f t="shared" si="5"/>
        <v>#DIV/0!</v>
      </c>
      <c r="AV29" s="144" t="e">
        <f t="shared" si="5"/>
        <v>#DIV/0!</v>
      </c>
      <c r="AW29" s="44"/>
      <c r="AX29" s="145" t="e">
        <f>86400/AQ29</f>
        <v>#DIV/0!</v>
      </c>
      <c r="AY29" s="145" t="e">
        <f t="shared" ref="AY29:BB31" si="6">86400/AR29</f>
        <v>#DIV/0!</v>
      </c>
      <c r="AZ29" s="145" t="e">
        <f t="shared" si="6"/>
        <v>#DIV/0!</v>
      </c>
      <c r="BA29" s="145" t="e">
        <f t="shared" si="6"/>
        <v>#DIV/0!</v>
      </c>
      <c r="BB29" s="145" t="e">
        <f t="shared" si="6"/>
        <v>#DIV/0!</v>
      </c>
      <c r="BC29" s="144" t="s">
        <v>6</v>
      </c>
      <c r="BD29" s="146" t="s">
        <v>182</v>
      </c>
      <c r="BE29" s="44"/>
      <c r="BF29" s="105"/>
    </row>
    <row r="30" spans="2:66" ht="30" customHeight="1" thickBot="1" x14ac:dyDescent="0.35">
      <c r="B30" s="200" t="s">
        <v>1163</v>
      </c>
      <c r="C30" s="587"/>
      <c r="D30" s="587"/>
      <c r="E30" s="587"/>
      <c r="F30" s="587"/>
      <c r="G30" s="587"/>
      <c r="H30" s="587"/>
      <c r="I30" s="587"/>
      <c r="J30" s="587"/>
      <c r="K30" s="587"/>
      <c r="L30" s="587"/>
      <c r="M30" s="587"/>
      <c r="N30" s="587"/>
      <c r="O30" s="587"/>
      <c r="P30" s="587"/>
      <c r="Q30" s="587"/>
      <c r="R30" s="587"/>
      <c r="S30" s="587"/>
      <c r="T30" s="587"/>
      <c r="U30" s="588"/>
      <c r="AA30" s="299" t="s">
        <v>504</v>
      </c>
      <c r="AB30" s="3">
        <v>1</v>
      </c>
      <c r="AD30" s="102"/>
      <c r="AG30" s="65">
        <v>6</v>
      </c>
      <c r="AH30" s="66" t="e">
        <f>"da "&amp;ROUND(AU40,2)&amp;" a "&amp;ROUND(AU38,0)&amp;" auto/giorno a 110 kmh"</f>
        <v>#DIV/0!</v>
      </c>
      <c r="AI30" s="45"/>
      <c r="AJ30" s="45"/>
      <c r="AK30" s="46">
        <v>6</v>
      </c>
      <c r="AL30" s="66" t="e">
        <f>"da "&amp;ROUND(AU62,2)&amp;" a "&amp;ROUND(AU60,0)&amp;" auto/giorno a 110 kmh"</f>
        <v>#DIV/0!</v>
      </c>
      <c r="AM30" s="66"/>
      <c r="AN30" s="45"/>
      <c r="AO30" s="45"/>
      <c r="AP30" s="143" t="s">
        <v>16</v>
      </c>
      <c r="AQ30" s="151" t="e">
        <f>AQ29/5</f>
        <v>#DIV/0!</v>
      </c>
      <c r="AR30" s="151" t="e">
        <f t="shared" ref="AR30:AV30" si="7">AR29/5</f>
        <v>#DIV/0!</v>
      </c>
      <c r="AS30" s="151" t="e">
        <f t="shared" si="7"/>
        <v>#DIV/0!</v>
      </c>
      <c r="AT30" s="151" t="e">
        <f t="shared" si="7"/>
        <v>#DIV/0!</v>
      </c>
      <c r="AU30" s="151" t="e">
        <f t="shared" si="7"/>
        <v>#DIV/0!</v>
      </c>
      <c r="AV30" s="151" t="e">
        <f t="shared" si="7"/>
        <v>#DIV/0!</v>
      </c>
      <c r="AW30" s="44"/>
      <c r="AX30" s="144" t="e">
        <f t="shared" ref="AX30:AX31" si="8">86400/AQ30</f>
        <v>#DIV/0!</v>
      </c>
      <c r="AY30" s="144" t="e">
        <f t="shared" si="6"/>
        <v>#DIV/0!</v>
      </c>
      <c r="AZ30" s="144" t="e">
        <f t="shared" si="6"/>
        <v>#DIV/0!</v>
      </c>
      <c r="BA30" s="144" t="e">
        <f t="shared" si="6"/>
        <v>#DIV/0!</v>
      </c>
      <c r="BB30" s="144" t="e">
        <f t="shared" si="6"/>
        <v>#DIV/0!</v>
      </c>
      <c r="BC30" s="144" t="s">
        <v>6</v>
      </c>
      <c r="BD30" s="300" t="s">
        <v>1010</v>
      </c>
      <c r="BE30" s="44"/>
      <c r="BF30" s="105"/>
    </row>
    <row r="31" spans="2:66" ht="6" customHeight="1" x14ac:dyDescent="0.3">
      <c r="B31" s="189"/>
      <c r="C31" s="301"/>
      <c r="D31" s="189"/>
      <c r="E31" s="189"/>
      <c r="F31" s="302"/>
      <c r="G31" s="97"/>
      <c r="H31" s="301"/>
      <c r="I31" s="189"/>
      <c r="J31" s="189"/>
      <c r="K31" s="301"/>
      <c r="L31" s="189"/>
      <c r="M31" s="303"/>
      <c r="N31" s="189"/>
      <c r="O31" s="189"/>
      <c r="P31" s="303"/>
      <c r="Q31" s="189"/>
      <c r="R31" s="303"/>
      <c r="S31" s="189"/>
      <c r="T31" s="189"/>
      <c r="U31" s="303"/>
      <c r="AA31" s="299" t="s">
        <v>22</v>
      </c>
      <c r="AB31" s="3">
        <v>1</v>
      </c>
      <c r="AD31" s="102"/>
      <c r="AG31" s="65">
        <v>7</v>
      </c>
      <c r="AH31" s="66" t="e">
        <f>"da "&amp;ROUND(AU41,2)&amp;" a "&amp;ROUND(AU40,2)&amp;" auto/giorno a 110 kmh"</f>
        <v>#DIV/0!</v>
      </c>
      <c r="AI31" s="45"/>
      <c r="AJ31" s="45"/>
      <c r="AK31" s="46">
        <v>7</v>
      </c>
      <c r="AL31" s="66" t="e">
        <f>"da "&amp;ROUND(AU63,2)&amp;" a "&amp;ROUND(AU62,2)&amp;" auto/giorno a 110 kmh"</f>
        <v>#DIV/0!</v>
      </c>
      <c r="AM31" s="66"/>
      <c r="AN31" s="45"/>
      <c r="AO31" s="45"/>
      <c r="AP31" s="143" t="s">
        <v>10</v>
      </c>
      <c r="AQ31" s="151" t="e">
        <f t="shared" ref="AQ31:AV31" si="9">AQ29/10</f>
        <v>#DIV/0!</v>
      </c>
      <c r="AR31" s="151" t="e">
        <f t="shared" si="9"/>
        <v>#DIV/0!</v>
      </c>
      <c r="AS31" s="151" t="e">
        <f t="shared" si="9"/>
        <v>#DIV/0!</v>
      </c>
      <c r="AT31" s="151" t="e">
        <f t="shared" si="9"/>
        <v>#DIV/0!</v>
      </c>
      <c r="AU31" s="151" t="e">
        <f t="shared" si="9"/>
        <v>#DIV/0!</v>
      </c>
      <c r="AV31" s="151" t="e">
        <f t="shared" si="9"/>
        <v>#DIV/0!</v>
      </c>
      <c r="AW31" s="44"/>
      <c r="AX31" s="144" t="e">
        <f t="shared" si="8"/>
        <v>#DIV/0!</v>
      </c>
      <c r="AY31" s="144" t="e">
        <f t="shared" si="6"/>
        <v>#DIV/0!</v>
      </c>
      <c r="AZ31" s="144" t="e">
        <f t="shared" si="6"/>
        <v>#DIV/0!</v>
      </c>
      <c r="BA31" s="144" t="e">
        <f t="shared" si="6"/>
        <v>#DIV/0!</v>
      </c>
      <c r="BB31" s="144" t="e">
        <f t="shared" si="6"/>
        <v>#DIV/0!</v>
      </c>
      <c r="BC31" s="144" t="s">
        <v>6</v>
      </c>
      <c r="BD31" s="300" t="s">
        <v>1011</v>
      </c>
      <c r="BE31" s="44"/>
      <c r="BF31" s="105"/>
    </row>
    <row r="32" spans="2:66" ht="32.25" customHeight="1" x14ac:dyDescent="0.3">
      <c r="B32" s="189"/>
      <c r="C32" s="301"/>
      <c r="D32" s="189"/>
      <c r="E32" s="189"/>
      <c r="F32" s="302"/>
      <c r="G32" s="97"/>
      <c r="H32" s="301"/>
      <c r="I32" s="189"/>
      <c r="J32" s="189"/>
      <c r="K32" s="301"/>
      <c r="L32" s="189"/>
      <c r="M32" s="303"/>
      <c r="N32" s="189"/>
      <c r="O32" s="189"/>
      <c r="P32" s="303"/>
      <c r="Q32" s="189"/>
      <c r="R32" s="303"/>
      <c r="S32" s="189"/>
      <c r="T32" s="204"/>
      <c r="AA32" s="304" t="s">
        <v>335</v>
      </c>
      <c r="AB32" s="3">
        <v>2</v>
      </c>
      <c r="AD32" s="102"/>
      <c r="AG32" s="65"/>
      <c r="AH32" s="66"/>
      <c r="AI32" s="45"/>
      <c r="AJ32" s="45"/>
      <c r="AK32" s="46"/>
      <c r="AL32" s="66"/>
      <c r="AM32" s="66"/>
      <c r="AN32" s="45"/>
      <c r="AO32" s="45"/>
      <c r="AP32" s="143" t="s">
        <v>17</v>
      </c>
      <c r="AQ32" s="151" t="e">
        <f>AQ31/5</f>
        <v>#DIV/0!</v>
      </c>
      <c r="AR32" s="151" t="e">
        <f t="shared" ref="AR32:AV32" si="10">AR31/5</f>
        <v>#DIV/0!</v>
      </c>
      <c r="AS32" s="151" t="e">
        <f t="shared" si="10"/>
        <v>#DIV/0!</v>
      </c>
      <c r="AT32" s="151" t="e">
        <f t="shared" si="10"/>
        <v>#DIV/0!</v>
      </c>
      <c r="AU32" s="151" t="e">
        <f t="shared" si="10"/>
        <v>#DIV/0!</v>
      </c>
      <c r="AV32" s="151" t="e">
        <f t="shared" si="10"/>
        <v>#DIV/0!</v>
      </c>
      <c r="AW32" s="44"/>
      <c r="AX32" s="144" t="e">
        <f>1440/AQ32</f>
        <v>#DIV/0!</v>
      </c>
      <c r="AY32" s="144" t="e">
        <f t="shared" ref="AY32:BB35" si="11">1440/AR32</f>
        <v>#DIV/0!</v>
      </c>
      <c r="AZ32" s="144" t="e">
        <f t="shared" si="11"/>
        <v>#DIV/0!</v>
      </c>
      <c r="BA32" s="144" t="e">
        <f t="shared" si="11"/>
        <v>#DIV/0!</v>
      </c>
      <c r="BB32" s="144" t="e">
        <f t="shared" si="11"/>
        <v>#DIV/0!</v>
      </c>
      <c r="BC32" s="144" t="s">
        <v>7</v>
      </c>
      <c r="BD32" s="300" t="s">
        <v>1012</v>
      </c>
      <c r="BE32" s="44"/>
      <c r="BF32" s="105"/>
    </row>
    <row r="33" spans="2:58" ht="15" customHeight="1" x14ac:dyDescent="0.3">
      <c r="B33" s="189"/>
      <c r="C33" s="301"/>
      <c r="D33" s="189"/>
      <c r="E33" s="189"/>
      <c r="F33" s="302"/>
      <c r="G33" s="97"/>
      <c r="H33" s="301"/>
      <c r="I33" s="189"/>
      <c r="J33" s="189"/>
      <c r="K33" s="301"/>
      <c r="L33" s="189"/>
      <c r="M33" s="303"/>
      <c r="N33" s="189"/>
      <c r="O33" s="189"/>
      <c r="P33" s="303"/>
      <c r="Q33" s="189"/>
      <c r="R33" s="303"/>
      <c r="S33" s="189"/>
      <c r="T33" s="204"/>
      <c r="AA33" s="304" t="s">
        <v>501</v>
      </c>
      <c r="AB33" s="3">
        <v>2</v>
      </c>
      <c r="AD33" s="102"/>
      <c r="AG33" s="65">
        <v>1</v>
      </c>
      <c r="AH33" s="66" t="e">
        <f>"da "&amp;ROUND(AT30,0)&amp;" a "&amp;ROUND(AT29,0)&amp;" auto/giorno a 90 kmh"</f>
        <v>#DIV/0!</v>
      </c>
      <c r="AI33" s="45"/>
      <c r="AJ33" s="45"/>
      <c r="AK33" s="46">
        <v>1</v>
      </c>
      <c r="AL33" s="66" t="e">
        <f>"da "&amp;ROUND(AT52,0)&amp;" a "&amp;ROUND(AT51,0)&amp;" auto/giorno a 90 kmh"</f>
        <v>#DIV/0!</v>
      </c>
      <c r="AM33" s="66"/>
      <c r="AN33" s="45"/>
      <c r="AO33" s="45"/>
      <c r="AP33" s="143" t="s">
        <v>11</v>
      </c>
      <c r="AQ33" s="163" t="e">
        <f t="shared" ref="AQ33:AV33" si="12">AQ31/10</f>
        <v>#DIV/0!</v>
      </c>
      <c r="AR33" s="163" t="e">
        <f t="shared" si="12"/>
        <v>#DIV/0!</v>
      </c>
      <c r="AS33" s="163" t="e">
        <f t="shared" si="12"/>
        <v>#DIV/0!</v>
      </c>
      <c r="AT33" s="163" t="e">
        <f t="shared" si="12"/>
        <v>#DIV/0!</v>
      </c>
      <c r="AU33" s="163" t="e">
        <f t="shared" si="12"/>
        <v>#DIV/0!</v>
      </c>
      <c r="AV33" s="163" t="e">
        <f t="shared" si="12"/>
        <v>#DIV/0!</v>
      </c>
      <c r="AW33" s="44"/>
      <c r="AX33" s="144" t="e">
        <f t="shared" ref="AX33:AX41" si="13">1440/AQ33</f>
        <v>#DIV/0!</v>
      </c>
      <c r="AY33" s="144" t="e">
        <f t="shared" si="11"/>
        <v>#DIV/0!</v>
      </c>
      <c r="AZ33" s="144" t="e">
        <f t="shared" si="11"/>
        <v>#DIV/0!</v>
      </c>
      <c r="BA33" s="144" t="e">
        <f t="shared" si="11"/>
        <v>#DIV/0!</v>
      </c>
      <c r="BB33" s="144" t="e">
        <f t="shared" si="11"/>
        <v>#DIV/0!</v>
      </c>
      <c r="BC33" s="144" t="s">
        <v>7</v>
      </c>
      <c r="BD33" s="300" t="s">
        <v>1013</v>
      </c>
      <c r="BE33" s="44"/>
      <c r="BF33" s="105"/>
    </row>
    <row r="34" spans="2:58" ht="15" customHeight="1" x14ac:dyDescent="0.3">
      <c r="B34" s="189"/>
      <c r="C34" s="301"/>
      <c r="D34" s="189"/>
      <c r="E34" s="189"/>
      <c r="F34" s="302"/>
      <c r="G34" s="97"/>
      <c r="H34" s="301"/>
      <c r="I34" s="189"/>
      <c r="J34" s="189"/>
      <c r="K34" s="301"/>
      <c r="L34" s="189"/>
      <c r="M34" s="303"/>
      <c r="N34" s="189"/>
      <c r="O34" s="189"/>
      <c r="P34" s="303"/>
      <c r="Q34" s="189"/>
      <c r="R34" s="303"/>
      <c r="S34" s="189"/>
      <c r="AA34" s="305" t="s">
        <v>23</v>
      </c>
      <c r="AB34" s="3">
        <v>3</v>
      </c>
      <c r="AD34" s="102"/>
      <c r="AG34" s="65">
        <v>2</v>
      </c>
      <c r="AH34" s="66" t="e">
        <f>"da "&amp;ROUND(AT32,0)&amp;" a "&amp;ROUND(AT30,0)&amp;" auto/giorno a 90 kmh"</f>
        <v>#DIV/0!</v>
      </c>
      <c r="AI34" s="45"/>
      <c r="AJ34" s="45"/>
      <c r="AK34" s="46">
        <v>2</v>
      </c>
      <c r="AL34" s="66" t="e">
        <f>"da "&amp;ROUND(AT54,0)&amp;" a "&amp;ROUND(AT52,0)&amp;" auto/giorno a 90 kmh"</f>
        <v>#DIV/0!</v>
      </c>
      <c r="AM34" s="66"/>
      <c r="AN34" s="45"/>
      <c r="AO34" s="45"/>
      <c r="AP34" s="143" t="s">
        <v>18</v>
      </c>
      <c r="AQ34" s="151" t="e">
        <f>AQ33/5</f>
        <v>#DIV/0!</v>
      </c>
      <c r="AR34" s="151" t="e">
        <f t="shared" ref="AR34:AV34" si="14">AR33/5</f>
        <v>#DIV/0!</v>
      </c>
      <c r="AS34" s="151" t="e">
        <f t="shared" si="14"/>
        <v>#DIV/0!</v>
      </c>
      <c r="AT34" s="151" t="e">
        <f t="shared" si="14"/>
        <v>#DIV/0!</v>
      </c>
      <c r="AU34" s="151" t="e">
        <f t="shared" si="14"/>
        <v>#DIV/0!</v>
      </c>
      <c r="AV34" s="151" t="e">
        <f t="shared" si="14"/>
        <v>#DIV/0!</v>
      </c>
      <c r="AW34" s="44"/>
      <c r="AX34" s="144" t="e">
        <f t="shared" si="13"/>
        <v>#DIV/0!</v>
      </c>
      <c r="AY34" s="144" t="e">
        <f t="shared" si="11"/>
        <v>#DIV/0!</v>
      </c>
      <c r="AZ34" s="144" t="e">
        <f t="shared" si="11"/>
        <v>#DIV/0!</v>
      </c>
      <c r="BA34" s="144" t="e">
        <f t="shared" si="11"/>
        <v>#DIV/0!</v>
      </c>
      <c r="BB34" s="144" t="e">
        <f t="shared" si="11"/>
        <v>#DIV/0!</v>
      </c>
      <c r="BC34" s="144" t="s">
        <v>7</v>
      </c>
      <c r="BD34" s="300" t="s">
        <v>1014</v>
      </c>
      <c r="BE34" s="44"/>
      <c r="BF34" s="105"/>
    </row>
    <row r="35" spans="2:58" ht="15" customHeight="1" x14ac:dyDescent="0.3">
      <c r="B35" s="189"/>
      <c r="C35" s="301"/>
      <c r="D35" s="189"/>
      <c r="E35" s="189"/>
      <c r="F35" s="302"/>
      <c r="G35" s="97"/>
      <c r="H35" s="301"/>
      <c r="I35" s="189"/>
      <c r="J35" s="189"/>
      <c r="K35" s="301"/>
      <c r="L35" s="189"/>
      <c r="M35" s="303"/>
      <c r="N35" s="189"/>
      <c r="O35" s="189"/>
      <c r="P35" s="303"/>
      <c r="Q35" s="189"/>
      <c r="R35" s="303"/>
      <c r="S35" s="189"/>
      <c r="AA35" s="305" t="s">
        <v>498</v>
      </c>
      <c r="AB35" s="3">
        <v>3</v>
      </c>
      <c r="AD35" s="102"/>
      <c r="AG35" s="65">
        <v>3</v>
      </c>
      <c r="AH35" s="66" t="e">
        <f>"da "&amp;ROUND(AT34,0)&amp;" a "&amp;ROUND(AT32,0)&amp;" auto/giorno a 90 kmh"</f>
        <v>#DIV/0!</v>
      </c>
      <c r="AI35" s="45"/>
      <c r="AJ35" s="45"/>
      <c r="AK35" s="46">
        <v>3</v>
      </c>
      <c r="AL35" s="66" t="e">
        <f>"da "&amp;ROUND(AT56,0)&amp;" a "&amp;ROUND(AT54,0)&amp;" auto/giorno a 90 kmh"</f>
        <v>#DIV/0!</v>
      </c>
      <c r="AM35" s="66"/>
      <c r="AN35" s="45"/>
      <c r="AO35" s="45"/>
      <c r="AP35" s="143" t="s">
        <v>12</v>
      </c>
      <c r="AQ35" s="170" t="e">
        <f t="shared" ref="AQ35:AV35" si="15">AQ33/10</f>
        <v>#DIV/0!</v>
      </c>
      <c r="AR35" s="170" t="e">
        <f t="shared" si="15"/>
        <v>#DIV/0!</v>
      </c>
      <c r="AS35" s="170" t="e">
        <f t="shared" si="15"/>
        <v>#DIV/0!</v>
      </c>
      <c r="AT35" s="170" t="e">
        <f t="shared" si="15"/>
        <v>#DIV/0!</v>
      </c>
      <c r="AU35" s="170" t="e">
        <f t="shared" si="15"/>
        <v>#DIV/0!</v>
      </c>
      <c r="AV35" s="170" t="e">
        <f t="shared" si="15"/>
        <v>#DIV/0!</v>
      </c>
      <c r="AW35" s="44"/>
      <c r="AX35" s="144" t="e">
        <f t="shared" si="13"/>
        <v>#DIV/0!</v>
      </c>
      <c r="AY35" s="144" t="e">
        <f t="shared" si="11"/>
        <v>#DIV/0!</v>
      </c>
      <c r="AZ35" s="144" t="e">
        <f t="shared" si="11"/>
        <v>#DIV/0!</v>
      </c>
      <c r="BA35" s="144" t="e">
        <f t="shared" si="11"/>
        <v>#DIV/0!</v>
      </c>
      <c r="BB35" s="144" t="e">
        <f t="shared" si="11"/>
        <v>#DIV/0!</v>
      </c>
      <c r="BC35" s="144" t="s">
        <v>7</v>
      </c>
      <c r="BD35" s="300" t="s">
        <v>1015</v>
      </c>
      <c r="BE35" s="44"/>
      <c r="BF35" s="105"/>
    </row>
    <row r="36" spans="2:58" ht="15" customHeight="1" x14ac:dyDescent="0.3">
      <c r="B36" s="189"/>
      <c r="C36" s="301"/>
      <c r="D36" s="189"/>
      <c r="E36" s="189"/>
      <c r="F36" s="302"/>
      <c r="G36" s="97"/>
      <c r="H36" s="301"/>
      <c r="I36" s="189"/>
      <c r="J36" s="189"/>
      <c r="K36" s="301"/>
      <c r="L36" s="189"/>
      <c r="M36" s="303"/>
      <c r="N36" s="189"/>
      <c r="O36" s="189"/>
      <c r="P36" s="303"/>
      <c r="Q36" s="189"/>
      <c r="R36" s="303"/>
      <c r="S36" s="189"/>
      <c r="AA36" s="307" t="s">
        <v>334</v>
      </c>
      <c r="AB36" s="3">
        <v>4</v>
      </c>
      <c r="AD36" s="102"/>
      <c r="AG36" s="65">
        <v>4</v>
      </c>
      <c r="AH36" s="66" t="e">
        <f>"da "&amp;ROUND(AT36,0)&amp;" a "&amp;ROUND(AT34,0)&amp;" auto/giorno a 90 kmh"</f>
        <v>#DIV/0!</v>
      </c>
      <c r="AI36" s="45"/>
      <c r="AJ36" s="45"/>
      <c r="AK36" s="46">
        <v>4</v>
      </c>
      <c r="AL36" s="66" t="e">
        <f>"da "&amp;ROUND(AT58,0)&amp;" a "&amp;ROUND(AT56,0)&amp;" auto/giorno a 90 kmh"</f>
        <v>#DIV/0!</v>
      </c>
      <c r="AM36" s="66"/>
      <c r="AN36" s="45"/>
      <c r="AO36" s="45"/>
      <c r="AP36" s="143" t="s">
        <v>19</v>
      </c>
      <c r="AQ36" s="151" t="e">
        <f>AQ35/5</f>
        <v>#DIV/0!</v>
      </c>
      <c r="AR36" s="151" t="e">
        <f t="shared" ref="AR36:AV36" si="16">AR35/5</f>
        <v>#DIV/0!</v>
      </c>
      <c r="AS36" s="151" t="e">
        <f t="shared" si="16"/>
        <v>#DIV/0!</v>
      </c>
      <c r="AT36" s="151" t="e">
        <f t="shared" si="16"/>
        <v>#DIV/0!</v>
      </c>
      <c r="AU36" s="151" t="e">
        <f t="shared" si="16"/>
        <v>#DIV/0!</v>
      </c>
      <c r="AV36" s="151" t="e">
        <f t="shared" si="16"/>
        <v>#DIV/0!</v>
      </c>
      <c r="AW36" s="44"/>
      <c r="AX36" s="144" t="e">
        <f t="shared" si="13"/>
        <v>#DIV/0!</v>
      </c>
      <c r="AY36" s="145" t="e">
        <f>24/AR36</f>
        <v>#DIV/0!</v>
      </c>
      <c r="AZ36" s="145" t="e">
        <f t="shared" ref="AZ36:BB38" si="17">24/AS36</f>
        <v>#DIV/0!</v>
      </c>
      <c r="BA36" s="145" t="e">
        <f t="shared" si="17"/>
        <v>#DIV/0!</v>
      </c>
      <c r="BB36" s="145" t="e">
        <f t="shared" si="17"/>
        <v>#DIV/0!</v>
      </c>
      <c r="BC36" s="144" t="s">
        <v>1</v>
      </c>
      <c r="BD36" s="306" t="s">
        <v>1016</v>
      </c>
      <c r="BE36" s="44"/>
      <c r="BF36" s="105"/>
    </row>
    <row r="37" spans="2:58" ht="15" customHeight="1" x14ac:dyDescent="0.3">
      <c r="B37" s="189"/>
      <c r="C37" s="301"/>
      <c r="D37" s="189"/>
      <c r="E37" s="189"/>
      <c r="F37" s="302"/>
      <c r="G37" s="97"/>
      <c r="H37" s="301"/>
      <c r="I37" s="189"/>
      <c r="J37" s="189"/>
      <c r="K37" s="301"/>
      <c r="L37" s="189"/>
      <c r="M37" s="303"/>
      <c r="N37" s="189"/>
      <c r="O37" s="189"/>
      <c r="P37" s="303"/>
      <c r="Q37" s="189"/>
      <c r="R37" s="303"/>
      <c r="S37" s="189"/>
      <c r="AA37" s="307" t="s">
        <v>500</v>
      </c>
      <c r="AB37" s="3">
        <v>4</v>
      </c>
      <c r="AD37" s="102"/>
      <c r="AG37" s="65">
        <v>5</v>
      </c>
      <c r="AH37" s="66" t="e">
        <f>"da "&amp;ROUND(AT38,1)&amp;" a "&amp;ROUND(AT36,0)&amp;" auto/giorno a 90 kmh"</f>
        <v>#DIV/0!</v>
      </c>
      <c r="AI37" s="45"/>
      <c r="AJ37" s="45"/>
      <c r="AK37" s="46">
        <v>5</v>
      </c>
      <c r="AL37" s="66" t="e">
        <f>"da "&amp;ROUND(AT60,1)&amp;" a "&amp;ROUND(AT58,0)&amp;" auto/giorno a 90 kmh"</f>
        <v>#DIV/0!</v>
      </c>
      <c r="AM37" s="66"/>
      <c r="AN37" s="45"/>
      <c r="AO37" s="45"/>
      <c r="AP37" s="143" t="s">
        <v>13</v>
      </c>
      <c r="AQ37" s="170" t="e">
        <f t="shared" ref="AQ37:AV37" si="18">AQ35/10</f>
        <v>#DIV/0!</v>
      </c>
      <c r="AR37" s="170" t="e">
        <f t="shared" si="18"/>
        <v>#DIV/0!</v>
      </c>
      <c r="AS37" s="170" t="e">
        <f t="shared" si="18"/>
        <v>#DIV/0!</v>
      </c>
      <c r="AT37" s="170" t="e">
        <f t="shared" si="18"/>
        <v>#DIV/0!</v>
      </c>
      <c r="AU37" s="170" t="e">
        <f t="shared" si="18"/>
        <v>#DIV/0!</v>
      </c>
      <c r="AV37" s="170" t="e">
        <f t="shared" si="18"/>
        <v>#DIV/0!</v>
      </c>
      <c r="AW37" s="44"/>
      <c r="AX37" s="144" t="e">
        <f t="shared" si="13"/>
        <v>#DIV/0!</v>
      </c>
      <c r="AY37" s="145" t="e">
        <f t="shared" ref="AY37:AY38" si="19">24/AR37</f>
        <v>#DIV/0!</v>
      </c>
      <c r="AZ37" s="145" t="e">
        <f t="shared" si="17"/>
        <v>#DIV/0!</v>
      </c>
      <c r="BA37" s="145" t="e">
        <f t="shared" si="17"/>
        <v>#DIV/0!</v>
      </c>
      <c r="BB37" s="145" t="e">
        <f t="shared" si="17"/>
        <v>#DIV/0!</v>
      </c>
      <c r="BC37" s="144" t="s">
        <v>1</v>
      </c>
      <c r="BD37" s="44"/>
      <c r="BE37" s="44"/>
      <c r="BF37" s="105"/>
    </row>
    <row r="38" spans="2:58" ht="15" customHeight="1" x14ac:dyDescent="0.3">
      <c r="B38" s="189"/>
      <c r="C38" s="301"/>
      <c r="D38" s="189"/>
      <c r="E38" s="189"/>
      <c r="F38" s="302"/>
      <c r="G38" s="97"/>
      <c r="H38" s="301"/>
      <c r="I38" s="189"/>
      <c r="J38" s="189"/>
      <c r="K38" s="301"/>
      <c r="L38" s="189"/>
      <c r="M38" s="303"/>
      <c r="N38" s="189"/>
      <c r="O38" s="189"/>
      <c r="P38" s="303"/>
      <c r="Q38" s="189"/>
      <c r="R38" s="303"/>
      <c r="S38" s="189"/>
      <c r="AA38" s="307" t="s">
        <v>503</v>
      </c>
      <c r="AB38" s="3">
        <v>4</v>
      </c>
      <c r="AG38" s="65">
        <v>6</v>
      </c>
      <c r="AH38" s="66" t="e">
        <f>"da "&amp;ROUND(AT40,2)&amp;" a "&amp;ROUND(AT38,0)&amp;" auto/giorno a 90 kmh"</f>
        <v>#DIV/0!</v>
      </c>
      <c r="AI38" s="45"/>
      <c r="AJ38" s="45"/>
      <c r="AK38" s="46">
        <v>6</v>
      </c>
      <c r="AL38" s="66" t="e">
        <f>"da "&amp;ROUND(AT62,2)&amp;" a "&amp;ROUND(AT60,0)&amp;" auto/giorno a 90 kmh"</f>
        <v>#DIV/0!</v>
      </c>
      <c r="AM38" s="66"/>
      <c r="AN38" s="45"/>
      <c r="AO38" s="45"/>
      <c r="AP38" s="143" t="s">
        <v>20</v>
      </c>
      <c r="AQ38" s="151" t="e">
        <f>AQ37/5</f>
        <v>#DIV/0!</v>
      </c>
      <c r="AR38" s="151" t="e">
        <f t="shared" ref="AR38:AV38" si="20">AR37/5</f>
        <v>#DIV/0!</v>
      </c>
      <c r="AS38" s="151" t="e">
        <f t="shared" si="20"/>
        <v>#DIV/0!</v>
      </c>
      <c r="AT38" s="151" t="e">
        <f t="shared" si="20"/>
        <v>#DIV/0!</v>
      </c>
      <c r="AU38" s="151" t="e">
        <f t="shared" si="20"/>
        <v>#DIV/0!</v>
      </c>
      <c r="AV38" s="151" t="e">
        <f t="shared" si="20"/>
        <v>#DIV/0!</v>
      </c>
      <c r="AW38" s="44"/>
      <c r="AX38" s="144" t="e">
        <f t="shared" si="13"/>
        <v>#DIV/0!</v>
      </c>
      <c r="AY38" s="144" t="e">
        <f t="shared" si="19"/>
        <v>#DIV/0!</v>
      </c>
      <c r="AZ38" s="144" t="e">
        <f t="shared" si="17"/>
        <v>#DIV/0!</v>
      </c>
      <c r="BA38" s="144" t="e">
        <f t="shared" si="17"/>
        <v>#DIV/0!</v>
      </c>
      <c r="BB38" s="144" t="e">
        <f t="shared" si="17"/>
        <v>#DIV/0!</v>
      </c>
      <c r="BC38" s="144" t="s">
        <v>1</v>
      </c>
      <c r="BD38" s="44"/>
      <c r="BE38" s="44"/>
      <c r="BF38" s="105"/>
    </row>
    <row r="39" spans="2:58" ht="15" customHeight="1" x14ac:dyDescent="0.3">
      <c r="B39" s="189"/>
      <c r="C39" s="301"/>
      <c r="D39" s="189"/>
      <c r="E39" s="189"/>
      <c r="F39" s="302"/>
      <c r="G39" s="97"/>
      <c r="H39" s="301"/>
      <c r="I39" s="189"/>
      <c r="J39" s="189"/>
      <c r="K39" s="301"/>
      <c r="L39" s="189"/>
      <c r="M39" s="303"/>
      <c r="N39" s="189"/>
      <c r="O39" s="189"/>
      <c r="P39" s="303"/>
      <c r="Q39" s="189"/>
      <c r="R39" s="303"/>
      <c r="S39" s="189"/>
      <c r="AA39" s="307" t="s">
        <v>502</v>
      </c>
      <c r="AB39" s="3">
        <v>4</v>
      </c>
      <c r="AG39" s="65">
        <v>7</v>
      </c>
      <c r="AH39" s="66" t="e">
        <f>"da "&amp;ROUND(AT41,2)&amp;" a "&amp;ROUND(AT40,2)&amp;" auto/giorno a 90 kmh"</f>
        <v>#DIV/0!</v>
      </c>
      <c r="AI39" s="45"/>
      <c r="AJ39" s="45"/>
      <c r="AK39" s="46">
        <v>7</v>
      </c>
      <c r="AL39" s="66" t="e">
        <f>"da "&amp;ROUND(AT63,2)&amp;" a "&amp;ROUND(AT62,2)&amp;" auto/giorno a 90 kmh"</f>
        <v>#DIV/0!</v>
      </c>
      <c r="AM39" s="66"/>
      <c r="AN39" s="45"/>
      <c r="AO39" s="45"/>
      <c r="AP39" s="143" t="s">
        <v>14</v>
      </c>
      <c r="AQ39" s="170" t="e">
        <f t="shared" ref="AQ39:AV39" si="21">AQ37/10</f>
        <v>#DIV/0!</v>
      </c>
      <c r="AR39" s="170" t="e">
        <f t="shared" si="21"/>
        <v>#DIV/0!</v>
      </c>
      <c r="AS39" s="170" t="e">
        <f t="shared" si="21"/>
        <v>#DIV/0!</v>
      </c>
      <c r="AT39" s="170" t="e">
        <f t="shared" si="21"/>
        <v>#DIV/0!</v>
      </c>
      <c r="AU39" s="170" t="e">
        <f t="shared" si="21"/>
        <v>#DIV/0!</v>
      </c>
      <c r="AV39" s="170" t="e">
        <f t="shared" si="21"/>
        <v>#DIV/0!</v>
      </c>
      <c r="AW39" s="44"/>
      <c r="AX39" s="144" t="e">
        <f t="shared" si="13"/>
        <v>#DIV/0!</v>
      </c>
      <c r="AY39" s="145" t="e">
        <f>1/AR39</f>
        <v>#DIV/0!</v>
      </c>
      <c r="AZ39" s="145" t="e">
        <f t="shared" ref="AZ39:BB41" si="22">1/AS39</f>
        <v>#DIV/0!</v>
      </c>
      <c r="BA39" s="145" t="e">
        <f t="shared" si="22"/>
        <v>#DIV/0!</v>
      </c>
      <c r="BB39" s="145" t="e">
        <f t="shared" si="22"/>
        <v>#DIV/0!</v>
      </c>
      <c r="BC39" s="144" t="s">
        <v>8</v>
      </c>
      <c r="BD39" s="146" t="s">
        <v>181</v>
      </c>
      <c r="BE39" s="44"/>
      <c r="BF39" s="105"/>
    </row>
    <row r="40" spans="2:58" ht="12.75" customHeight="1" x14ac:dyDescent="0.3">
      <c r="B40" s="189"/>
      <c r="C40" s="301"/>
      <c r="D40" s="189"/>
      <c r="E40" s="189"/>
      <c r="F40" s="302"/>
      <c r="G40" s="97"/>
      <c r="H40" s="301"/>
      <c r="I40" s="189"/>
      <c r="J40" s="189"/>
      <c r="K40" s="301"/>
      <c r="L40" s="189"/>
      <c r="M40" s="303"/>
      <c r="N40" s="189"/>
      <c r="O40" s="189"/>
      <c r="P40" s="303"/>
      <c r="Q40" s="189"/>
      <c r="R40" s="303"/>
      <c r="S40" s="189"/>
      <c r="AA40" s="308" t="s">
        <v>333</v>
      </c>
      <c r="AB40" s="3">
        <v>5</v>
      </c>
      <c r="AG40" s="70"/>
      <c r="AH40" s="45"/>
      <c r="AI40" s="45"/>
      <c r="AJ40" s="45"/>
      <c r="AK40" s="45"/>
      <c r="AL40" s="45"/>
      <c r="AM40" s="45"/>
      <c r="AN40" s="45"/>
      <c r="AO40" s="45"/>
      <c r="AP40" s="143" t="s">
        <v>21</v>
      </c>
      <c r="AQ40" s="151" t="e">
        <f>AQ39/5</f>
        <v>#DIV/0!</v>
      </c>
      <c r="AR40" s="151" t="e">
        <f t="shared" ref="AR40:AV40" si="23">AR39/5</f>
        <v>#DIV/0!</v>
      </c>
      <c r="AS40" s="151" t="e">
        <f t="shared" si="23"/>
        <v>#DIV/0!</v>
      </c>
      <c r="AT40" s="151" t="e">
        <f t="shared" si="23"/>
        <v>#DIV/0!</v>
      </c>
      <c r="AU40" s="151" t="e">
        <f t="shared" si="23"/>
        <v>#DIV/0!</v>
      </c>
      <c r="AV40" s="151" t="e">
        <f t="shared" si="23"/>
        <v>#DIV/0!</v>
      </c>
      <c r="AW40" s="44"/>
      <c r="AX40" s="144" t="e">
        <f t="shared" si="13"/>
        <v>#DIV/0!</v>
      </c>
      <c r="AY40" s="144" t="e">
        <f t="shared" ref="AY40:AY41" si="24">1/AR40</f>
        <v>#DIV/0!</v>
      </c>
      <c r="AZ40" s="144" t="e">
        <f t="shared" si="22"/>
        <v>#DIV/0!</v>
      </c>
      <c r="BA40" s="144" t="e">
        <f t="shared" si="22"/>
        <v>#DIV/0!</v>
      </c>
      <c r="BB40" s="144" t="e">
        <f t="shared" si="22"/>
        <v>#DIV/0!</v>
      </c>
      <c r="BC40" s="144" t="s">
        <v>8</v>
      </c>
      <c r="BD40" s="300" t="s">
        <v>172</v>
      </c>
      <c r="BE40" s="44"/>
      <c r="BF40" s="105"/>
    </row>
    <row r="41" spans="2:58" ht="15" customHeight="1" x14ac:dyDescent="0.3">
      <c r="B41" s="189"/>
      <c r="C41" s="301"/>
      <c r="D41" s="189"/>
      <c r="E41" s="189"/>
      <c r="F41" s="302"/>
      <c r="G41" s="97"/>
      <c r="H41" s="301"/>
      <c r="I41" s="189"/>
      <c r="J41" s="189"/>
      <c r="K41" s="301"/>
      <c r="L41" s="189"/>
      <c r="M41" s="303"/>
      <c r="N41" s="189"/>
      <c r="O41" s="189"/>
      <c r="P41" s="303"/>
      <c r="Q41" s="189"/>
      <c r="R41" s="303"/>
      <c r="S41" s="189"/>
      <c r="AA41" s="308" t="s">
        <v>499</v>
      </c>
      <c r="AB41" s="3">
        <v>5</v>
      </c>
      <c r="AG41" s="65">
        <v>1</v>
      </c>
      <c r="AH41" s="66" t="e">
        <f>"da "&amp;ROUND(AS30,0)&amp;" a "&amp;ROUND(AS29,0)&amp;" auto/giorno a 70 kmh"</f>
        <v>#DIV/0!</v>
      </c>
      <c r="AI41" s="45"/>
      <c r="AJ41" s="45"/>
      <c r="AK41" s="46">
        <v>1</v>
      </c>
      <c r="AL41" s="66" t="e">
        <f>"da "&amp;ROUND(AS52,0)&amp;" a "&amp;ROUND(AS51,0)&amp;" auto/giorno a 70 kmh"</f>
        <v>#DIV/0!</v>
      </c>
      <c r="AM41" s="66"/>
      <c r="AN41" s="45"/>
      <c r="AO41" s="45"/>
      <c r="AP41" s="143" t="s">
        <v>15</v>
      </c>
      <c r="AQ41" s="178" t="e">
        <f t="shared" ref="AQ41:AV41" si="25">AQ39/10</f>
        <v>#DIV/0!</v>
      </c>
      <c r="AR41" s="178" t="e">
        <f t="shared" si="25"/>
        <v>#DIV/0!</v>
      </c>
      <c r="AS41" s="178" t="e">
        <f t="shared" si="25"/>
        <v>#DIV/0!</v>
      </c>
      <c r="AT41" s="178" t="e">
        <f t="shared" si="25"/>
        <v>#DIV/0!</v>
      </c>
      <c r="AU41" s="178" t="e">
        <f t="shared" si="25"/>
        <v>#DIV/0!</v>
      </c>
      <c r="AV41" s="178" t="e">
        <f t="shared" si="25"/>
        <v>#DIV/0!</v>
      </c>
      <c r="AW41" s="44"/>
      <c r="AX41" s="144" t="e">
        <f t="shared" si="13"/>
        <v>#DIV/0!</v>
      </c>
      <c r="AY41" s="144" t="e">
        <f t="shared" si="24"/>
        <v>#DIV/0!</v>
      </c>
      <c r="AZ41" s="144" t="e">
        <f t="shared" si="22"/>
        <v>#DIV/0!</v>
      </c>
      <c r="BA41" s="144" t="e">
        <f t="shared" si="22"/>
        <v>#DIV/0!</v>
      </c>
      <c r="BB41" s="144" t="e">
        <f t="shared" si="22"/>
        <v>#DIV/0!</v>
      </c>
      <c r="BC41" s="144" t="s">
        <v>8</v>
      </c>
      <c r="BD41" s="300" t="s">
        <v>173</v>
      </c>
      <c r="BE41" s="44"/>
      <c r="BF41" s="105"/>
    </row>
    <row r="42" spans="2:58" ht="15" customHeight="1" x14ac:dyDescent="0.3">
      <c r="B42" s="189"/>
      <c r="C42" s="301"/>
      <c r="D42" s="189"/>
      <c r="E42" s="189"/>
      <c r="F42" s="302"/>
      <c r="G42" s="97"/>
      <c r="H42" s="301"/>
      <c r="I42" s="189"/>
      <c r="J42" s="189"/>
      <c r="K42" s="301"/>
      <c r="L42" s="189"/>
      <c r="M42" s="303"/>
      <c r="N42" s="189"/>
      <c r="O42" s="189"/>
      <c r="P42" s="303"/>
      <c r="Q42" s="189"/>
      <c r="R42" s="303"/>
      <c r="S42" s="189"/>
      <c r="AA42" s="308" t="s">
        <v>24</v>
      </c>
      <c r="AB42" s="3">
        <v>5</v>
      </c>
      <c r="AG42" s="65">
        <v>2</v>
      </c>
      <c r="AH42" s="66" t="e">
        <f>"da "&amp;ROUND(AS32,0)&amp;" a "&amp;ROUND(AS30,0)&amp;" auto/giorno a 70 kmh"</f>
        <v>#DIV/0!</v>
      </c>
      <c r="AI42" s="45"/>
      <c r="AJ42" s="45"/>
      <c r="AK42" s="46">
        <v>2</v>
      </c>
      <c r="AL42" s="66" t="e">
        <f>"da "&amp;ROUND(AS54,0)&amp;" a "&amp;ROUND(AS52,0)&amp;" auto/giorno a 70 kmh"</f>
        <v>#DIV/0!</v>
      </c>
      <c r="AM42" s="66"/>
      <c r="AN42" s="45"/>
      <c r="AO42" s="45"/>
      <c r="AP42" s="45"/>
      <c r="AQ42" s="45"/>
      <c r="AR42" s="45"/>
      <c r="AS42" s="45"/>
      <c r="AT42" s="45"/>
      <c r="AU42" s="45"/>
      <c r="AV42" s="45"/>
      <c r="AW42" s="44"/>
      <c r="AX42" s="44"/>
      <c r="AY42" s="44"/>
      <c r="AZ42" s="44"/>
      <c r="BA42" s="44"/>
      <c r="BB42" s="44"/>
      <c r="BC42" s="44"/>
      <c r="BD42" s="300" t="s">
        <v>765</v>
      </c>
      <c r="BE42" s="44"/>
      <c r="BF42" s="105"/>
    </row>
    <row r="43" spans="2:58" ht="24" customHeight="1" thickBot="1" x14ac:dyDescent="0.35">
      <c r="B43" s="189"/>
      <c r="C43" s="301"/>
      <c r="D43" s="189"/>
      <c r="E43" s="189"/>
      <c r="F43" s="302"/>
      <c r="G43" s="97"/>
      <c r="H43" s="301"/>
      <c r="I43" s="189"/>
      <c r="J43" s="189"/>
      <c r="K43" s="301"/>
      <c r="L43" s="189"/>
      <c r="M43" s="303"/>
      <c r="N43" s="189"/>
      <c r="O43" s="189"/>
      <c r="P43" s="303"/>
      <c r="Q43" s="189"/>
      <c r="R43" s="303"/>
      <c r="S43" s="189"/>
      <c r="AA43" s="315" t="s">
        <v>332</v>
      </c>
      <c r="AB43" s="3">
        <v>6</v>
      </c>
      <c r="AG43" s="65">
        <v>3</v>
      </c>
      <c r="AH43" s="66" t="e">
        <f>"da "&amp;ROUND(AS34,0)&amp;" a "&amp;ROUND(AS32,0)&amp;" auto/giorno a 70 kmh"</f>
        <v>#DIV/0!</v>
      </c>
      <c r="AI43" s="45"/>
      <c r="AJ43" s="45"/>
      <c r="AK43" s="46">
        <v>3</v>
      </c>
      <c r="AL43" s="66" t="e">
        <f>"da "&amp;ROUND(AS56,0)&amp;" a "&amp;ROUND(AS54,0)&amp;" auto/giorno a 70 kmh"</f>
        <v>#DIV/0!</v>
      </c>
      <c r="AM43" s="66"/>
      <c r="AN43" s="45"/>
      <c r="AO43" s="45"/>
      <c r="AP43" s="45"/>
      <c r="AQ43" s="111"/>
      <c r="AR43" s="45"/>
      <c r="AS43" s="45"/>
      <c r="AT43" s="45"/>
      <c r="AU43" s="45"/>
      <c r="AV43" s="45"/>
      <c r="AW43" s="44"/>
      <c r="AX43" s="44"/>
      <c r="AY43" s="44"/>
      <c r="AZ43" s="44"/>
      <c r="BA43" s="44"/>
      <c r="BB43" s="44"/>
      <c r="BC43" s="44"/>
      <c r="BD43" s="300" t="s">
        <v>1017</v>
      </c>
      <c r="BE43" s="44"/>
      <c r="BF43" s="105"/>
    </row>
    <row r="44" spans="2:58" ht="24" customHeight="1" thickBot="1" x14ac:dyDescent="0.35">
      <c r="B44" s="189"/>
      <c r="C44" s="301"/>
      <c r="D44" s="189"/>
      <c r="E44" s="189"/>
      <c r="F44" s="302"/>
      <c r="G44" s="97"/>
      <c r="H44" s="301"/>
      <c r="I44" s="189"/>
      <c r="J44" s="189"/>
      <c r="K44" s="301"/>
      <c r="L44" s="189"/>
      <c r="M44" s="303"/>
      <c r="N44" s="189"/>
      <c r="O44" s="189"/>
      <c r="P44" s="303"/>
      <c r="Q44" s="189"/>
      <c r="R44" s="303"/>
      <c r="S44" s="189"/>
      <c r="AG44" s="65">
        <v>4</v>
      </c>
      <c r="AH44" s="66" t="e">
        <f>"da "&amp;ROUND(AS36,0)&amp;" a "&amp;ROUND(AS34,0)&amp;" auto/giorno a 70 kmh"</f>
        <v>#DIV/0!</v>
      </c>
      <c r="AI44" s="45"/>
      <c r="AJ44" s="45"/>
      <c r="AK44" s="46">
        <v>4</v>
      </c>
      <c r="AL44" s="66" t="e">
        <f>"da "&amp;ROUND(AS58,0)&amp;" a "&amp;ROUND(AS56,0)&amp;" auto/giorno a 70 kmh"</f>
        <v>#DIV/0!</v>
      </c>
      <c r="AM44" s="66"/>
      <c r="AN44" s="45"/>
      <c r="AO44" s="115"/>
      <c r="AP44" s="116" t="s">
        <v>1663</v>
      </c>
      <c r="AQ44" s="117">
        <v>1.3</v>
      </c>
      <c r="AR44" s="45"/>
      <c r="AS44" s="45"/>
      <c r="AT44" s="45"/>
      <c r="AU44" s="45"/>
      <c r="AV44" s="45"/>
      <c r="AW44" s="44"/>
      <c r="AX44" s="44"/>
      <c r="AY44" s="44"/>
      <c r="AZ44" s="44"/>
      <c r="BA44" s="44"/>
      <c r="BB44" s="44"/>
      <c r="BC44" s="44"/>
      <c r="BD44" s="300" t="s">
        <v>1018</v>
      </c>
      <c r="BE44" s="44"/>
      <c r="BF44" s="105"/>
    </row>
    <row r="45" spans="2:58" ht="24" customHeight="1" x14ac:dyDescent="0.3">
      <c r="B45" s="189"/>
      <c r="C45" s="301"/>
      <c r="D45" s="189"/>
      <c r="E45" s="189"/>
      <c r="F45" s="302"/>
      <c r="G45" s="97"/>
      <c r="H45" s="301"/>
      <c r="I45" s="189"/>
      <c r="J45" s="189"/>
      <c r="K45" s="301"/>
      <c r="L45" s="189"/>
      <c r="M45" s="303"/>
      <c r="N45" s="189"/>
      <c r="O45" s="189"/>
      <c r="P45" s="303"/>
      <c r="Q45" s="189"/>
      <c r="R45" s="303"/>
      <c r="S45" s="189"/>
      <c r="AG45" s="65">
        <v>5</v>
      </c>
      <c r="AH45" s="66" t="e">
        <f>"da "&amp;ROUND(AS38,1)&amp;" a "&amp;ROUND(AS36,0)&amp;" auto/giorno a 70 kmh"</f>
        <v>#DIV/0!</v>
      </c>
      <c r="AI45" s="45"/>
      <c r="AJ45" s="45"/>
      <c r="AK45" s="46">
        <v>5</v>
      </c>
      <c r="AL45" s="66" t="e">
        <f>"da "&amp;ROUND(AS60,1)&amp;" a "&amp;ROUND(AS58,0)&amp;" auto/giorno a 70 kmh"</f>
        <v>#DIV/0!</v>
      </c>
      <c r="AM45" s="66"/>
      <c r="AN45" s="45"/>
      <c r="AO45" s="45"/>
      <c r="AP45" s="57" t="s">
        <v>184</v>
      </c>
      <c r="AQ45" s="46">
        <v>30</v>
      </c>
      <c r="AR45" s="46">
        <v>50</v>
      </c>
      <c r="AS45" s="46">
        <v>70</v>
      </c>
      <c r="AT45" s="46">
        <v>90</v>
      </c>
      <c r="AU45" s="46">
        <v>110</v>
      </c>
      <c r="AV45" s="46">
        <f>AV23</f>
        <v>60</v>
      </c>
      <c r="AW45" s="44"/>
      <c r="AX45" s="44"/>
      <c r="AY45" s="44"/>
      <c r="AZ45" s="44"/>
      <c r="BA45" s="44"/>
      <c r="BB45" s="44"/>
      <c r="BC45" s="44"/>
      <c r="BD45" s="300" t="s">
        <v>1019</v>
      </c>
      <c r="BE45" s="44"/>
      <c r="BF45" s="105"/>
    </row>
    <row r="46" spans="2:58" ht="15" customHeight="1" x14ac:dyDescent="0.3">
      <c r="B46" s="189"/>
      <c r="C46" s="301"/>
      <c r="D46" s="189"/>
      <c r="E46" s="189"/>
      <c r="F46" s="302"/>
      <c r="G46" s="97"/>
      <c r="H46" s="301"/>
      <c r="I46" s="189"/>
      <c r="J46" s="189"/>
      <c r="K46" s="301"/>
      <c r="L46" s="189"/>
      <c r="M46" s="303"/>
      <c r="N46" s="189"/>
      <c r="O46" s="189"/>
      <c r="P46" s="303"/>
      <c r="Q46" s="189"/>
      <c r="R46" s="303"/>
      <c r="S46" s="189"/>
      <c r="AG46" s="65">
        <v>6</v>
      </c>
      <c r="AH46" s="66" t="e">
        <f>"da "&amp;ROUND(AS40,2)&amp;" a "&amp;ROUND(AS38,0)&amp;" auto/giorno a 70 kmh"</f>
        <v>#DIV/0!</v>
      </c>
      <c r="AI46" s="45"/>
      <c r="AJ46" s="45"/>
      <c r="AK46" s="46">
        <v>6</v>
      </c>
      <c r="AL46" s="66" t="e">
        <f>"da "&amp;ROUND(AS62,2)&amp;" a "&amp;ROUND(AS60,0)&amp;" auto/giorno a 70 kmh"</f>
        <v>#DIV/0!</v>
      </c>
      <c r="AM46" s="66"/>
      <c r="AN46" s="45"/>
      <c r="AO46" s="45"/>
      <c r="AP46" s="57" t="s">
        <v>185</v>
      </c>
      <c r="AQ46" s="193">
        <f t="shared" ref="AQ46:AV46" si="26">AQ45*1000/3600</f>
        <v>8.3333333333333339</v>
      </c>
      <c r="AR46" s="193">
        <f t="shared" si="26"/>
        <v>13.888888888888889</v>
      </c>
      <c r="AS46" s="193">
        <f t="shared" si="26"/>
        <v>19.444444444444443</v>
      </c>
      <c r="AT46" s="193">
        <f t="shared" si="26"/>
        <v>25</v>
      </c>
      <c r="AU46" s="193">
        <f t="shared" si="26"/>
        <v>30.555555555555557</v>
      </c>
      <c r="AV46" s="193">
        <f t="shared" si="26"/>
        <v>16.666666666666668</v>
      </c>
      <c r="AW46" s="44"/>
      <c r="AX46" s="44"/>
      <c r="AY46" s="44"/>
      <c r="AZ46" s="44"/>
      <c r="BA46" s="44"/>
      <c r="BB46" s="44"/>
      <c r="BC46" s="44"/>
      <c r="BD46" s="306" t="s">
        <v>1020</v>
      </c>
      <c r="BE46" s="44"/>
      <c r="BF46" s="105"/>
    </row>
    <row r="47" spans="2:58" ht="15" customHeight="1" x14ac:dyDescent="0.3">
      <c r="B47" s="189"/>
      <c r="C47" s="301"/>
      <c r="D47" s="189"/>
      <c r="E47" s="189"/>
      <c r="F47" s="302"/>
      <c r="G47" s="97"/>
      <c r="H47" s="301"/>
      <c r="I47" s="189"/>
      <c r="J47" s="189"/>
      <c r="K47" s="301"/>
      <c r="L47" s="189"/>
      <c r="M47" s="303"/>
      <c r="N47" s="189"/>
      <c r="O47" s="189"/>
      <c r="P47" s="303"/>
      <c r="Q47" s="189"/>
      <c r="R47" s="303"/>
      <c r="S47" s="189"/>
      <c r="AG47" s="65">
        <v>7</v>
      </c>
      <c r="AH47" s="66" t="e">
        <f>"da "&amp;ROUND(AS41,2)&amp;" a "&amp;ROUND(AS40,2)&amp;" auto/giorno a 70 kmh"</f>
        <v>#DIV/0!</v>
      </c>
      <c r="AI47" s="45"/>
      <c r="AJ47" s="45"/>
      <c r="AK47" s="46">
        <v>7</v>
      </c>
      <c r="AL47" s="66" t="e">
        <f>"da "&amp;ROUND(AS63,2)&amp;" a "&amp;ROUND(AS62,2)&amp;" auto/giorno a 70 kmh"</f>
        <v>#DIV/0!</v>
      </c>
      <c r="AM47" s="66"/>
      <c r="AN47" s="45"/>
      <c r="AO47" s="45"/>
      <c r="AP47" s="57" t="s">
        <v>183</v>
      </c>
      <c r="AQ47" s="193">
        <f t="shared" ref="AQ47:AV47" si="27">AQ46^2/(2*9.8*0.5)</f>
        <v>7.0861678004535156</v>
      </c>
      <c r="AR47" s="193">
        <f t="shared" si="27"/>
        <v>19.683799445704206</v>
      </c>
      <c r="AS47" s="193">
        <f t="shared" si="27"/>
        <v>38.58024691358024</v>
      </c>
      <c r="AT47" s="193">
        <f t="shared" si="27"/>
        <v>63.775510204081627</v>
      </c>
      <c r="AU47" s="193">
        <f t="shared" si="27"/>
        <v>95.269589317208357</v>
      </c>
      <c r="AV47" s="193">
        <f t="shared" si="27"/>
        <v>28.344671201814062</v>
      </c>
      <c r="AW47" s="44"/>
      <c r="AX47" s="44"/>
      <c r="AY47" s="44"/>
      <c r="AZ47" s="44"/>
      <c r="BA47" s="44"/>
      <c r="BB47" s="44"/>
      <c r="BC47" s="44"/>
      <c r="BD47" s="44"/>
      <c r="BE47" s="44"/>
      <c r="BF47" s="105"/>
    </row>
    <row r="48" spans="2:58" ht="6" customHeight="1" x14ac:dyDescent="0.3">
      <c r="B48" s="189"/>
      <c r="C48" s="301"/>
      <c r="D48" s="189"/>
      <c r="E48" s="189"/>
      <c r="F48" s="302"/>
      <c r="G48" s="97"/>
      <c r="H48" s="301"/>
      <c r="I48" s="189"/>
      <c r="J48" s="189"/>
      <c r="K48" s="301"/>
      <c r="L48" s="189"/>
      <c r="M48" s="303"/>
      <c r="N48" s="189"/>
      <c r="O48" s="189"/>
      <c r="P48" s="303"/>
      <c r="Q48" s="189"/>
      <c r="R48" s="303"/>
      <c r="S48" s="189"/>
      <c r="AG48" s="65"/>
      <c r="AH48" s="66"/>
      <c r="AI48" s="45"/>
      <c r="AJ48" s="45"/>
      <c r="AK48" s="46"/>
      <c r="AL48" s="66"/>
      <c r="AM48" s="66"/>
      <c r="AN48" s="45"/>
      <c r="AO48" s="45"/>
      <c r="AP48" s="57" t="s">
        <v>1694</v>
      </c>
      <c r="AQ48" s="122">
        <f t="shared" ref="AQ48:AV48" si="28">AQ47/AQ46</f>
        <v>0.85034013605442182</v>
      </c>
      <c r="AR48" s="122">
        <f t="shared" si="28"/>
        <v>1.4172335600907029</v>
      </c>
      <c r="AS48" s="122">
        <f t="shared" si="28"/>
        <v>1.984126984126984</v>
      </c>
      <c r="AT48" s="122">
        <f t="shared" si="28"/>
        <v>2.5510204081632653</v>
      </c>
      <c r="AU48" s="122">
        <f t="shared" si="28"/>
        <v>3.1179138321995459</v>
      </c>
      <c r="AV48" s="122">
        <f t="shared" si="28"/>
        <v>1.7006802721088436</v>
      </c>
      <c r="AW48" s="44"/>
      <c r="AX48" s="44"/>
      <c r="AY48" s="44"/>
      <c r="AZ48" s="44"/>
      <c r="BA48" s="44"/>
      <c r="BB48" s="44"/>
      <c r="BC48" s="44"/>
      <c r="BD48" s="44"/>
      <c r="BE48" s="44"/>
      <c r="BF48" s="105"/>
    </row>
    <row r="49" spans="2:58" ht="15" customHeight="1" x14ac:dyDescent="0.3">
      <c r="B49" s="189"/>
      <c r="C49" s="301"/>
      <c r="D49" s="189"/>
      <c r="E49" s="189"/>
      <c r="F49" s="302"/>
      <c r="G49" s="97"/>
      <c r="H49" s="301"/>
      <c r="I49" s="189"/>
      <c r="J49" s="189"/>
      <c r="K49" s="301"/>
      <c r="L49" s="189"/>
      <c r="M49" s="303"/>
      <c r="N49" s="189"/>
      <c r="O49" s="189"/>
      <c r="P49" s="303"/>
      <c r="Q49" s="189"/>
      <c r="R49" s="303"/>
      <c r="S49" s="189"/>
      <c r="AG49" s="65">
        <v>1</v>
      </c>
      <c r="AH49" s="66" t="e">
        <f>"da "&amp;ROUND(AR30,0)&amp;" a "&amp;ROUND(AR29,0)&amp;" auto/giorno a 50 kmh"</f>
        <v>#DIV/0!</v>
      </c>
      <c r="AI49" s="45"/>
      <c r="AJ49" s="45"/>
      <c r="AK49" s="46">
        <v>1</v>
      </c>
      <c r="AL49" s="66" t="e">
        <f>"da "&amp;ROUND(AR52,0)&amp;" a "&amp;ROUND(AR51,0)&amp;" auto/giorno a 50 kmh"</f>
        <v>#DIV/0!</v>
      </c>
      <c r="AM49" s="66"/>
      <c r="AN49" s="45"/>
      <c r="AO49" s="45"/>
      <c r="AP49" s="57" t="s">
        <v>175</v>
      </c>
      <c r="AQ49" s="46">
        <f>$O$9*1.25</f>
        <v>0</v>
      </c>
      <c r="AR49" s="46">
        <f t="shared" ref="AR49:AV49" si="29">$O$9*1.25</f>
        <v>0</v>
      </c>
      <c r="AS49" s="46">
        <f t="shared" si="29"/>
        <v>0</v>
      </c>
      <c r="AT49" s="46">
        <f t="shared" si="29"/>
        <v>0</v>
      </c>
      <c r="AU49" s="46">
        <f t="shared" si="29"/>
        <v>0</v>
      </c>
      <c r="AV49" s="46">
        <f t="shared" si="29"/>
        <v>0</v>
      </c>
      <c r="AW49" s="44"/>
      <c r="AX49" s="44"/>
      <c r="AY49" s="44"/>
      <c r="AZ49" s="44"/>
      <c r="BA49" s="44"/>
      <c r="BB49" s="44"/>
      <c r="BC49" s="44"/>
      <c r="BD49" s="44"/>
      <c r="BE49" s="44"/>
      <c r="BF49" s="105"/>
    </row>
    <row r="50" spans="2:58" ht="15" customHeight="1" x14ac:dyDescent="0.3">
      <c r="B50" s="189"/>
      <c r="C50" s="301"/>
      <c r="D50" s="189"/>
      <c r="E50" s="189"/>
      <c r="F50" s="302"/>
      <c r="G50" s="97"/>
      <c r="H50" s="301"/>
      <c r="I50" s="189"/>
      <c r="J50" s="189"/>
      <c r="K50" s="301"/>
      <c r="L50" s="189"/>
      <c r="M50" s="303"/>
      <c r="N50" s="189"/>
      <c r="O50" s="189"/>
      <c r="P50" s="303"/>
      <c r="Q50" s="189"/>
      <c r="R50" s="303"/>
      <c r="S50" s="189"/>
      <c r="AG50" s="65">
        <v>2</v>
      </c>
      <c r="AH50" s="66" t="e">
        <f>"da "&amp;ROUND(AR32,0)&amp;" a "&amp;ROUND(AR30,0)&amp;" auto/giorno a 50 kmh"</f>
        <v>#DIV/0!</v>
      </c>
      <c r="AI50" s="45"/>
      <c r="AJ50" s="45"/>
      <c r="AK50" s="46">
        <v>2</v>
      </c>
      <c r="AL50" s="66" t="e">
        <f>"da "&amp;ROUND(AR54,0)&amp;" a "&amp;ROUND(AR52,0)&amp;" auto/giorno a 50 kmh"</f>
        <v>#DIV/0!</v>
      </c>
      <c r="AM50" s="66"/>
      <c r="AN50" s="45"/>
      <c r="AO50" s="45"/>
      <c r="AP50" s="57" t="s">
        <v>1693</v>
      </c>
      <c r="AQ50" s="122">
        <f t="shared" ref="AQ50:AV50" si="30">AQ49/AQ46</f>
        <v>0</v>
      </c>
      <c r="AR50" s="122">
        <f t="shared" si="30"/>
        <v>0</v>
      </c>
      <c r="AS50" s="122">
        <f t="shared" si="30"/>
        <v>0</v>
      </c>
      <c r="AT50" s="122">
        <f t="shared" si="30"/>
        <v>0</v>
      </c>
      <c r="AU50" s="122">
        <f t="shared" si="30"/>
        <v>0</v>
      </c>
      <c r="AV50" s="122">
        <f t="shared" si="30"/>
        <v>0</v>
      </c>
      <c r="AW50" s="44"/>
      <c r="AX50" s="44"/>
      <c r="AY50" s="44"/>
      <c r="AZ50" s="44"/>
      <c r="BA50" s="44"/>
      <c r="BB50" s="44"/>
      <c r="BC50" s="44"/>
      <c r="BD50" s="44"/>
      <c r="BE50" s="44"/>
      <c r="BF50" s="105"/>
    </row>
    <row r="51" spans="2:58" ht="15" customHeight="1" x14ac:dyDescent="0.3">
      <c r="B51" s="189"/>
      <c r="C51" s="301"/>
      <c r="D51" s="189"/>
      <c r="E51" s="189"/>
      <c r="F51" s="302"/>
      <c r="G51" s="97"/>
      <c r="H51" s="301"/>
      <c r="I51" s="189"/>
      <c r="J51" s="189"/>
      <c r="K51" s="301"/>
      <c r="L51" s="189"/>
      <c r="M51" s="303"/>
      <c r="N51" s="189"/>
      <c r="O51" s="189"/>
      <c r="P51" s="303"/>
      <c r="Q51" s="189"/>
      <c r="R51" s="303"/>
      <c r="S51" s="189"/>
      <c r="AG51" s="65">
        <v>3</v>
      </c>
      <c r="AH51" s="66" t="e">
        <f>"da "&amp;ROUND(AR34,0)&amp;" a "&amp;ROUND(AR32,0)&amp;" auto/giorno a 50 kmh"</f>
        <v>#DIV/0!</v>
      </c>
      <c r="AI51" s="45"/>
      <c r="AJ51" s="45"/>
      <c r="AK51" s="46">
        <v>3</v>
      </c>
      <c r="AL51" s="66" t="e">
        <f>"da "&amp;ROUND(AR56,0)&amp;" a "&amp;ROUND(AR54,0)&amp;" auto/giorno a 50 kmh"</f>
        <v>#DIV/0!</v>
      </c>
      <c r="AM51" s="66"/>
      <c r="AN51" s="45"/>
      <c r="AO51" s="45"/>
      <c r="AP51" s="72" t="s">
        <v>9</v>
      </c>
      <c r="AQ51" s="144" t="e">
        <f>MIN(86400/AQ48,86400/AQ50)/$AQ$44</f>
        <v>#DIV/0!</v>
      </c>
      <c r="AR51" s="144" t="e">
        <f t="shared" ref="AR51:AV51" si="31">MIN(86400/AR48,86400/AR50)/$AQ$44</f>
        <v>#DIV/0!</v>
      </c>
      <c r="AS51" s="144" t="e">
        <f t="shared" si="31"/>
        <v>#DIV/0!</v>
      </c>
      <c r="AT51" s="144" t="e">
        <f t="shared" si="31"/>
        <v>#DIV/0!</v>
      </c>
      <c r="AU51" s="144" t="e">
        <f t="shared" si="31"/>
        <v>#DIV/0!</v>
      </c>
      <c r="AV51" s="144" t="e">
        <f t="shared" si="31"/>
        <v>#DIV/0!</v>
      </c>
      <c r="AW51" s="44"/>
      <c r="AX51" s="44"/>
      <c r="AY51" s="44"/>
      <c r="AZ51" s="44"/>
      <c r="BA51" s="44"/>
      <c r="BB51" s="44"/>
      <c r="BC51" s="44"/>
      <c r="BD51" s="44"/>
      <c r="BE51" s="44"/>
      <c r="BF51" s="105"/>
    </row>
    <row r="52" spans="2:58" ht="15" customHeight="1" x14ac:dyDescent="0.3">
      <c r="B52" s="189"/>
      <c r="C52" s="301"/>
      <c r="D52" s="189"/>
      <c r="E52" s="189"/>
      <c r="F52" s="302"/>
      <c r="G52" s="97"/>
      <c r="H52" s="301"/>
      <c r="I52" s="189"/>
      <c r="J52" s="189"/>
      <c r="K52" s="301"/>
      <c r="L52" s="189"/>
      <c r="M52" s="303"/>
      <c r="N52" s="189"/>
      <c r="O52" s="189"/>
      <c r="P52" s="303"/>
      <c r="Q52" s="189"/>
      <c r="R52" s="303"/>
      <c r="S52" s="189"/>
      <c r="AG52" s="65">
        <v>4</v>
      </c>
      <c r="AH52" s="66" t="e">
        <f>"da "&amp;ROUND(AR36,0)&amp;" a "&amp;ROUND(AR34,0)&amp;" auto/giorno a 50 kmh"</f>
        <v>#DIV/0!</v>
      </c>
      <c r="AI52" s="45"/>
      <c r="AJ52" s="45"/>
      <c r="AK52" s="46">
        <v>4</v>
      </c>
      <c r="AL52" s="66" t="e">
        <f>"da "&amp;ROUND(AR58,0)&amp;" a "&amp;ROUND(AR56,0)&amp;" auto/giorno a 50 kmh"</f>
        <v>#DIV/0!</v>
      </c>
      <c r="AM52" s="66"/>
      <c r="AN52" s="45"/>
      <c r="AO52" s="45"/>
      <c r="AP52" s="72" t="s">
        <v>16</v>
      </c>
      <c r="AQ52" s="151" t="e">
        <f t="shared" ref="AQ52:AV52" si="32">AQ51/5</f>
        <v>#DIV/0!</v>
      </c>
      <c r="AR52" s="151" t="e">
        <f t="shared" si="32"/>
        <v>#DIV/0!</v>
      </c>
      <c r="AS52" s="151" t="e">
        <f t="shared" si="32"/>
        <v>#DIV/0!</v>
      </c>
      <c r="AT52" s="151" t="e">
        <f t="shared" si="32"/>
        <v>#DIV/0!</v>
      </c>
      <c r="AU52" s="151" t="e">
        <f t="shared" si="32"/>
        <v>#DIV/0!</v>
      </c>
      <c r="AV52" s="151" t="e">
        <f t="shared" si="32"/>
        <v>#DIV/0!</v>
      </c>
      <c r="AW52" s="44"/>
      <c r="AX52" s="44"/>
      <c r="AY52" s="44"/>
      <c r="AZ52" s="44"/>
      <c r="BA52" s="44"/>
      <c r="BB52" s="44"/>
      <c r="BC52" s="44"/>
      <c r="BD52" s="44"/>
      <c r="BE52" s="44"/>
      <c r="BF52" s="105"/>
    </row>
    <row r="53" spans="2:58" ht="15" customHeight="1" x14ac:dyDescent="0.3">
      <c r="B53" s="189"/>
      <c r="C53" s="301"/>
      <c r="D53" s="189"/>
      <c r="E53" s="189"/>
      <c r="F53" s="302"/>
      <c r="G53" s="97"/>
      <c r="H53" s="301"/>
      <c r="I53" s="189"/>
      <c r="J53" s="189"/>
      <c r="K53" s="301"/>
      <c r="L53" s="189"/>
      <c r="M53" s="303"/>
      <c r="N53" s="189"/>
      <c r="O53" s="189"/>
      <c r="P53" s="303"/>
      <c r="Q53" s="189"/>
      <c r="R53" s="303"/>
      <c r="S53" s="189"/>
      <c r="AG53" s="65">
        <v>5</v>
      </c>
      <c r="AH53" s="66" t="e">
        <f>"da "&amp;ROUND(AR38,1)&amp;" a "&amp;ROUND(AR36,0)&amp;" auto/giorno a 50 kmh"</f>
        <v>#DIV/0!</v>
      </c>
      <c r="AI53" s="45"/>
      <c r="AJ53" s="45"/>
      <c r="AK53" s="46">
        <v>5</v>
      </c>
      <c r="AL53" s="66" t="e">
        <f>"da "&amp;ROUND(AR60,1)&amp;" a "&amp;ROUND(AR58,0)&amp;" auto/giorno a 50 kmh"</f>
        <v>#DIV/0!</v>
      </c>
      <c r="AM53" s="66"/>
      <c r="AN53" s="45"/>
      <c r="AO53" s="45"/>
      <c r="AP53" s="72" t="s">
        <v>10</v>
      </c>
      <c r="AQ53" s="151" t="e">
        <f t="shared" ref="AQ53:AV53" si="33">AQ51/10</f>
        <v>#DIV/0!</v>
      </c>
      <c r="AR53" s="151" t="e">
        <f t="shared" si="33"/>
        <v>#DIV/0!</v>
      </c>
      <c r="AS53" s="151" t="e">
        <f t="shared" si="33"/>
        <v>#DIV/0!</v>
      </c>
      <c r="AT53" s="151" t="e">
        <f t="shared" si="33"/>
        <v>#DIV/0!</v>
      </c>
      <c r="AU53" s="151" t="e">
        <f t="shared" si="33"/>
        <v>#DIV/0!</v>
      </c>
      <c r="AV53" s="151" t="e">
        <f t="shared" si="33"/>
        <v>#DIV/0!</v>
      </c>
      <c r="AW53" s="44"/>
      <c r="AX53" s="44"/>
      <c r="AY53" s="44"/>
      <c r="AZ53" s="44"/>
      <c r="BA53" s="44"/>
      <c r="BB53" s="44"/>
      <c r="BC53" s="44"/>
      <c r="BD53" s="44"/>
      <c r="BE53" s="44"/>
      <c r="BF53" s="105"/>
    </row>
    <row r="54" spans="2:58" ht="15" customHeight="1" x14ac:dyDescent="0.3">
      <c r="B54" s="189"/>
      <c r="C54" s="301"/>
      <c r="D54" s="189"/>
      <c r="E54" s="189"/>
      <c r="F54" s="302"/>
      <c r="G54" s="97"/>
      <c r="H54" s="301"/>
      <c r="I54" s="189"/>
      <c r="J54" s="189"/>
      <c r="K54" s="301"/>
      <c r="L54" s="189"/>
      <c r="M54" s="303"/>
      <c r="N54" s="189"/>
      <c r="O54" s="189"/>
      <c r="P54" s="303"/>
      <c r="Q54" s="189"/>
      <c r="R54" s="303"/>
      <c r="S54" s="189"/>
      <c r="AG54" s="65">
        <v>6</v>
      </c>
      <c r="AH54" s="66" t="e">
        <f>"da "&amp;ROUND(AR40,2)&amp;" a "&amp;ROUND(AR38,0)&amp;" auto/giorno a 50 kmh"</f>
        <v>#DIV/0!</v>
      </c>
      <c r="AI54" s="45"/>
      <c r="AJ54" s="45"/>
      <c r="AK54" s="46">
        <v>6</v>
      </c>
      <c r="AL54" s="66" t="e">
        <f>"da "&amp;ROUND(AR62,2)&amp;" a "&amp;ROUND(AR60,0)&amp;" auto/giorno a 50 kmh"</f>
        <v>#DIV/0!</v>
      </c>
      <c r="AM54" s="66"/>
      <c r="AN54" s="45"/>
      <c r="AO54" s="45"/>
      <c r="AP54" s="72" t="s">
        <v>17</v>
      </c>
      <c r="AQ54" s="151" t="e">
        <f>AQ53/5</f>
        <v>#DIV/0!</v>
      </c>
      <c r="AR54" s="151" t="e">
        <f t="shared" ref="AR54:AV54" si="34">AR53/5</f>
        <v>#DIV/0!</v>
      </c>
      <c r="AS54" s="151" t="e">
        <f t="shared" si="34"/>
        <v>#DIV/0!</v>
      </c>
      <c r="AT54" s="151" t="e">
        <f t="shared" si="34"/>
        <v>#DIV/0!</v>
      </c>
      <c r="AU54" s="151" t="e">
        <f t="shared" si="34"/>
        <v>#DIV/0!</v>
      </c>
      <c r="AV54" s="151" t="e">
        <f t="shared" si="34"/>
        <v>#DIV/0!</v>
      </c>
      <c r="AW54" s="44"/>
      <c r="AX54" s="44"/>
      <c r="AY54" s="44"/>
      <c r="AZ54" s="44"/>
      <c r="BA54" s="44"/>
      <c r="BB54" s="44"/>
      <c r="BC54" s="44"/>
      <c r="BD54" s="44"/>
      <c r="BE54" s="44"/>
      <c r="BF54" s="105"/>
    </row>
    <row r="55" spans="2:58" ht="15" customHeight="1" x14ac:dyDescent="0.3">
      <c r="B55" s="189"/>
      <c r="C55" s="301"/>
      <c r="D55" s="189"/>
      <c r="E55" s="189"/>
      <c r="F55" s="302"/>
      <c r="G55" s="97"/>
      <c r="H55" s="301"/>
      <c r="I55" s="189"/>
      <c r="J55" s="189"/>
      <c r="K55" s="301"/>
      <c r="L55" s="189"/>
      <c r="M55" s="303"/>
      <c r="N55" s="189"/>
      <c r="O55" s="189"/>
      <c r="P55" s="303"/>
      <c r="Q55" s="189"/>
      <c r="R55" s="303"/>
      <c r="S55" s="189"/>
      <c r="AG55" s="65">
        <v>7</v>
      </c>
      <c r="AH55" s="66" t="e">
        <f>"da "&amp;ROUND(AR41,2)&amp;" a "&amp;ROUND(AR40,2)&amp;" auto/giorno a 50 kmh"</f>
        <v>#DIV/0!</v>
      </c>
      <c r="AI55" s="45"/>
      <c r="AJ55" s="45"/>
      <c r="AK55" s="46">
        <v>7</v>
      </c>
      <c r="AL55" s="66" t="e">
        <f>"da "&amp;ROUND(AR63,2)&amp;" a "&amp;ROUND(AR62,2)&amp;" auto/giorno a 50 kmh"</f>
        <v>#DIV/0!</v>
      </c>
      <c r="AM55" s="66"/>
      <c r="AN55" s="45"/>
      <c r="AO55" s="45"/>
      <c r="AP55" s="72" t="s">
        <v>11</v>
      </c>
      <c r="AQ55" s="163" t="e">
        <f t="shared" ref="AQ55:AV55" si="35">AQ53/10</f>
        <v>#DIV/0!</v>
      </c>
      <c r="AR55" s="163" t="e">
        <f t="shared" si="35"/>
        <v>#DIV/0!</v>
      </c>
      <c r="AS55" s="163" t="e">
        <f t="shared" si="35"/>
        <v>#DIV/0!</v>
      </c>
      <c r="AT55" s="163" t="e">
        <f t="shared" si="35"/>
        <v>#DIV/0!</v>
      </c>
      <c r="AU55" s="163" t="e">
        <f t="shared" si="35"/>
        <v>#DIV/0!</v>
      </c>
      <c r="AV55" s="163" t="e">
        <f t="shared" si="35"/>
        <v>#DIV/0!</v>
      </c>
      <c r="AW55" s="44"/>
      <c r="AX55" s="44"/>
      <c r="AY55" s="44"/>
      <c r="AZ55" s="44"/>
      <c r="BA55" s="44"/>
      <c r="BB55" s="44"/>
      <c r="BC55" s="44"/>
      <c r="BD55" s="44"/>
      <c r="BE55" s="44"/>
      <c r="BF55" s="105"/>
    </row>
    <row r="56" spans="2:58" ht="15" customHeight="1" x14ac:dyDescent="0.3">
      <c r="B56" s="189"/>
      <c r="C56" s="301"/>
      <c r="D56" s="189"/>
      <c r="E56" s="189"/>
      <c r="F56" s="302"/>
      <c r="G56" s="97"/>
      <c r="H56" s="301"/>
      <c r="I56" s="189"/>
      <c r="J56" s="189"/>
      <c r="K56" s="301"/>
      <c r="L56" s="189"/>
      <c r="M56" s="303"/>
      <c r="N56" s="189"/>
      <c r="O56" s="189"/>
      <c r="P56" s="303"/>
      <c r="Q56" s="189"/>
      <c r="R56" s="303"/>
      <c r="S56" s="189"/>
      <c r="AG56" s="65"/>
      <c r="AH56" s="66"/>
      <c r="AI56" s="45"/>
      <c r="AJ56" s="45"/>
      <c r="AK56" s="46"/>
      <c r="AL56" s="66"/>
      <c r="AM56" s="66"/>
      <c r="AN56" s="45"/>
      <c r="AO56" s="45"/>
      <c r="AP56" s="72" t="s">
        <v>18</v>
      </c>
      <c r="AQ56" s="151" t="e">
        <f>AQ55/5</f>
        <v>#DIV/0!</v>
      </c>
      <c r="AR56" s="151" t="e">
        <f t="shared" ref="AR56:AV56" si="36">AR55/5</f>
        <v>#DIV/0!</v>
      </c>
      <c r="AS56" s="151" t="e">
        <f t="shared" si="36"/>
        <v>#DIV/0!</v>
      </c>
      <c r="AT56" s="151" t="e">
        <f t="shared" si="36"/>
        <v>#DIV/0!</v>
      </c>
      <c r="AU56" s="151" t="e">
        <f t="shared" si="36"/>
        <v>#DIV/0!</v>
      </c>
      <c r="AV56" s="151" t="e">
        <f t="shared" si="36"/>
        <v>#DIV/0!</v>
      </c>
      <c r="AW56" s="44"/>
      <c r="AX56" s="44"/>
      <c r="AY56" s="44"/>
      <c r="AZ56" s="44"/>
      <c r="BA56" s="44"/>
      <c r="BB56" s="44"/>
      <c r="BC56" s="44"/>
      <c r="BD56" s="44"/>
      <c r="BE56" s="44"/>
      <c r="BF56" s="105"/>
    </row>
    <row r="57" spans="2:58" ht="15" customHeight="1" x14ac:dyDescent="0.3">
      <c r="B57" s="189"/>
      <c r="C57" s="301"/>
      <c r="D57" s="189"/>
      <c r="E57" s="189"/>
      <c r="F57" s="302"/>
      <c r="G57" s="97"/>
      <c r="H57" s="301"/>
      <c r="I57" s="189"/>
      <c r="J57" s="189"/>
      <c r="K57" s="301"/>
      <c r="L57" s="189"/>
      <c r="M57" s="303"/>
      <c r="N57" s="189"/>
      <c r="O57" s="189"/>
      <c r="P57" s="303"/>
      <c r="Q57" s="189"/>
      <c r="R57" s="303"/>
      <c r="S57" s="189"/>
      <c r="AG57" s="65">
        <v>1</v>
      </c>
      <c r="AH57" s="66" t="e">
        <f>"da "&amp;ROUND(AQ30,0)&amp;" a "&amp;ROUND(AQ29,0)&amp;" auto/giorno a 30 kmh"</f>
        <v>#DIV/0!</v>
      </c>
      <c r="AI57" s="45"/>
      <c r="AJ57" s="45"/>
      <c r="AK57" s="46">
        <v>1</v>
      </c>
      <c r="AL57" s="66" t="e">
        <f>"da "&amp;ROUND(AQ52,0)&amp;" a "&amp;ROUND(AQ51,0)&amp;" auto/giorno a 30 kmh"</f>
        <v>#DIV/0!</v>
      </c>
      <c r="AM57" s="66"/>
      <c r="AN57" s="45"/>
      <c r="AO57" s="45"/>
      <c r="AP57" s="72" t="s">
        <v>12</v>
      </c>
      <c r="AQ57" s="170" t="e">
        <f t="shared" ref="AQ57:AV57" si="37">AQ55/10</f>
        <v>#DIV/0!</v>
      </c>
      <c r="AR57" s="170" t="e">
        <f t="shared" si="37"/>
        <v>#DIV/0!</v>
      </c>
      <c r="AS57" s="170" t="e">
        <f t="shared" si="37"/>
        <v>#DIV/0!</v>
      </c>
      <c r="AT57" s="170" t="e">
        <f t="shared" si="37"/>
        <v>#DIV/0!</v>
      </c>
      <c r="AU57" s="170" t="e">
        <f t="shared" si="37"/>
        <v>#DIV/0!</v>
      </c>
      <c r="AV57" s="170" t="e">
        <f t="shared" si="37"/>
        <v>#DIV/0!</v>
      </c>
      <c r="AW57" s="44"/>
      <c r="AX57" s="44"/>
      <c r="AY57" s="44"/>
      <c r="AZ57" s="44"/>
      <c r="BA57" s="44"/>
      <c r="BB57" s="44"/>
      <c r="BC57" s="44"/>
      <c r="BD57" s="44"/>
      <c r="BE57" s="44"/>
      <c r="BF57" s="105"/>
    </row>
    <row r="58" spans="2:58" ht="6" customHeight="1" x14ac:dyDescent="0.3">
      <c r="B58" s="189"/>
      <c r="C58" s="301"/>
      <c r="D58" s="189"/>
      <c r="E58" s="189"/>
      <c r="F58" s="302"/>
      <c r="G58" s="97"/>
      <c r="H58" s="301"/>
      <c r="I58" s="189"/>
      <c r="J58" s="189"/>
      <c r="K58" s="301"/>
      <c r="L58" s="189"/>
      <c r="M58" s="303"/>
      <c r="N58" s="189"/>
      <c r="O58" s="189"/>
      <c r="P58" s="303"/>
      <c r="Q58" s="189"/>
      <c r="R58" s="303"/>
      <c r="S58" s="189"/>
      <c r="AG58" s="65">
        <v>2</v>
      </c>
      <c r="AH58" s="66" t="e">
        <f>"da "&amp;ROUND(AQ32,0)&amp;" a "&amp;ROUND(AQ30,0)&amp;" auto/giorno a 30 kmh"</f>
        <v>#DIV/0!</v>
      </c>
      <c r="AI58" s="45"/>
      <c r="AJ58" s="45"/>
      <c r="AK58" s="46">
        <v>2</v>
      </c>
      <c r="AL58" s="66" t="e">
        <f>"da "&amp;ROUND(AQ54,0)&amp;" a "&amp;ROUND(AQ52,0)&amp;" auto/giorno a 30 kmh"</f>
        <v>#DIV/0!</v>
      </c>
      <c r="AM58" s="66"/>
      <c r="AN58" s="45"/>
      <c r="AO58" s="45"/>
      <c r="AP58" s="72" t="s">
        <v>19</v>
      </c>
      <c r="AQ58" s="151" t="e">
        <f>AQ57/5</f>
        <v>#DIV/0!</v>
      </c>
      <c r="AR58" s="151" t="e">
        <f t="shared" ref="AR58:AV58" si="38">AR57/5</f>
        <v>#DIV/0!</v>
      </c>
      <c r="AS58" s="151" t="e">
        <f t="shared" si="38"/>
        <v>#DIV/0!</v>
      </c>
      <c r="AT58" s="151" t="e">
        <f t="shared" si="38"/>
        <v>#DIV/0!</v>
      </c>
      <c r="AU58" s="151" t="e">
        <f t="shared" si="38"/>
        <v>#DIV/0!</v>
      </c>
      <c r="AV58" s="151" t="e">
        <f t="shared" si="38"/>
        <v>#DIV/0!</v>
      </c>
      <c r="AW58" s="44"/>
      <c r="AX58" s="44"/>
      <c r="AY58" s="44"/>
      <c r="AZ58" s="44"/>
      <c r="BA58" s="44"/>
      <c r="BB58" s="44"/>
      <c r="BC58" s="44"/>
      <c r="BD58" s="44"/>
      <c r="BE58" s="44"/>
      <c r="BF58" s="105"/>
    </row>
    <row r="59" spans="2:58" ht="24" customHeight="1" x14ac:dyDescent="0.3">
      <c r="B59" s="189"/>
      <c r="C59" s="301"/>
      <c r="D59" s="189"/>
      <c r="E59" s="189"/>
      <c r="F59" s="302"/>
      <c r="G59" s="97"/>
      <c r="H59" s="301"/>
      <c r="I59" s="189"/>
      <c r="J59" s="189"/>
      <c r="K59" s="301"/>
      <c r="L59" s="189"/>
      <c r="M59" s="303"/>
      <c r="N59" s="189"/>
      <c r="O59" s="189"/>
      <c r="P59" s="303"/>
      <c r="Q59" s="189"/>
      <c r="R59" s="303"/>
      <c r="S59" s="189"/>
      <c r="AG59" s="65">
        <v>3</v>
      </c>
      <c r="AH59" s="66" t="e">
        <f>"da "&amp;ROUND(AQ34,0)&amp;" a "&amp;ROUND(AQ32,0)&amp;" auto/giorno a 30 kmh"</f>
        <v>#DIV/0!</v>
      </c>
      <c r="AI59" s="45"/>
      <c r="AJ59" s="45"/>
      <c r="AK59" s="46">
        <v>3</v>
      </c>
      <c r="AL59" s="66" t="e">
        <f>"da "&amp;ROUND(AQ56,0)&amp;" a "&amp;ROUND(AQ54,0)&amp;" auto/giorno a 30 kmh"</f>
        <v>#DIV/0!</v>
      </c>
      <c r="AM59" s="66"/>
      <c r="AN59" s="45"/>
      <c r="AO59" s="45"/>
      <c r="AP59" s="72" t="s">
        <v>13</v>
      </c>
      <c r="AQ59" s="170" t="e">
        <f t="shared" ref="AQ59:AV59" si="39">AQ57/10</f>
        <v>#DIV/0!</v>
      </c>
      <c r="AR59" s="170" t="e">
        <f t="shared" si="39"/>
        <v>#DIV/0!</v>
      </c>
      <c r="AS59" s="170" t="e">
        <f t="shared" si="39"/>
        <v>#DIV/0!</v>
      </c>
      <c r="AT59" s="170" t="e">
        <f t="shared" si="39"/>
        <v>#DIV/0!</v>
      </c>
      <c r="AU59" s="170" t="e">
        <f t="shared" si="39"/>
        <v>#DIV/0!</v>
      </c>
      <c r="AV59" s="170" t="e">
        <f t="shared" si="39"/>
        <v>#DIV/0!</v>
      </c>
      <c r="AW59" s="44"/>
      <c r="AX59" s="44"/>
      <c r="AY59" s="44"/>
      <c r="AZ59" s="44"/>
      <c r="BA59" s="44"/>
      <c r="BB59" s="44"/>
      <c r="BC59" s="44"/>
      <c r="BD59" s="44"/>
      <c r="BE59" s="44"/>
      <c r="BF59" s="105"/>
    </row>
    <row r="60" spans="2:58" ht="15" customHeight="1" x14ac:dyDescent="0.3">
      <c r="B60" s="189"/>
      <c r="C60" s="301"/>
      <c r="D60" s="189"/>
      <c r="E60" s="189"/>
      <c r="F60" s="302"/>
      <c r="G60" s="97"/>
      <c r="H60" s="301"/>
      <c r="I60" s="189"/>
      <c r="J60" s="189"/>
      <c r="K60" s="301"/>
      <c r="L60" s="189"/>
      <c r="M60" s="303"/>
      <c r="N60" s="189"/>
      <c r="O60" s="189"/>
      <c r="P60" s="303"/>
      <c r="Q60" s="189"/>
      <c r="R60" s="303"/>
      <c r="S60" s="189"/>
      <c r="AG60" s="65">
        <v>4</v>
      </c>
      <c r="AH60" s="66" t="e">
        <f>"da "&amp;ROUND(AQ36,0)&amp;" a "&amp;ROUND(AQ34,0)&amp;" auto/giorno a 30 kmh"</f>
        <v>#DIV/0!</v>
      </c>
      <c r="AI60" s="45"/>
      <c r="AJ60" s="45"/>
      <c r="AK60" s="46">
        <v>4</v>
      </c>
      <c r="AL60" s="66" t="e">
        <f>"da "&amp;ROUND(AQ58,0)&amp;" a "&amp;ROUND(AQ56,0)&amp;" auto/giorno a 30 kmh"</f>
        <v>#DIV/0!</v>
      </c>
      <c r="AM60" s="66"/>
      <c r="AN60" s="45"/>
      <c r="AO60" s="45"/>
      <c r="AP60" s="72" t="s">
        <v>20</v>
      </c>
      <c r="AQ60" s="151" t="e">
        <f>AQ59/5</f>
        <v>#DIV/0!</v>
      </c>
      <c r="AR60" s="151" t="e">
        <f t="shared" ref="AR60:AV60" si="40">AR59/5</f>
        <v>#DIV/0!</v>
      </c>
      <c r="AS60" s="151" t="e">
        <f t="shared" si="40"/>
        <v>#DIV/0!</v>
      </c>
      <c r="AT60" s="151" t="e">
        <f t="shared" si="40"/>
        <v>#DIV/0!</v>
      </c>
      <c r="AU60" s="151" t="e">
        <f t="shared" si="40"/>
        <v>#DIV/0!</v>
      </c>
      <c r="AV60" s="151" t="e">
        <f t="shared" si="40"/>
        <v>#DIV/0!</v>
      </c>
      <c r="AW60" s="44"/>
      <c r="AX60" s="44"/>
      <c r="AY60" s="44"/>
      <c r="AZ60" s="44"/>
      <c r="BA60" s="44"/>
      <c r="BB60" s="44"/>
      <c r="BC60" s="44"/>
      <c r="BD60" s="44"/>
      <c r="BE60" s="44"/>
      <c r="BF60" s="105"/>
    </row>
    <row r="61" spans="2:58" ht="13.95" customHeight="1" x14ac:dyDescent="0.3">
      <c r="B61" s="189"/>
      <c r="C61" s="301"/>
      <c r="D61" s="189"/>
      <c r="E61" s="189"/>
      <c r="F61" s="302"/>
      <c r="G61" s="97"/>
      <c r="H61" s="301"/>
      <c r="I61" s="189"/>
      <c r="J61" s="189"/>
      <c r="K61" s="301"/>
      <c r="L61" s="189"/>
      <c r="M61" s="303"/>
      <c r="N61" s="189"/>
      <c r="O61" s="189"/>
      <c r="P61" s="303"/>
      <c r="Q61" s="189"/>
      <c r="R61" s="303"/>
      <c r="S61" s="189"/>
      <c r="AG61" s="65">
        <v>5</v>
      </c>
      <c r="AH61" s="66" t="e">
        <f>"da "&amp;ROUND(AQ38,1)&amp;" a "&amp;ROUND(AQ36,0)&amp;" auto/giorno a 30 kmh"</f>
        <v>#DIV/0!</v>
      </c>
      <c r="AI61" s="45"/>
      <c r="AJ61" s="45"/>
      <c r="AK61" s="46">
        <v>5</v>
      </c>
      <c r="AL61" s="66" t="e">
        <f>"da "&amp;ROUND(AQ60,1)&amp;" a "&amp;ROUND(AQ58,0)&amp;" auto/giorno a 30 kmh"</f>
        <v>#DIV/0!</v>
      </c>
      <c r="AM61" s="66"/>
      <c r="AN61" s="45"/>
      <c r="AO61" s="45"/>
      <c r="AP61" s="72" t="s">
        <v>14</v>
      </c>
      <c r="AQ61" s="170" t="e">
        <f t="shared" ref="AQ61:AV61" si="41">AQ59/10</f>
        <v>#DIV/0!</v>
      </c>
      <c r="AR61" s="170" t="e">
        <f t="shared" si="41"/>
        <v>#DIV/0!</v>
      </c>
      <c r="AS61" s="170" t="e">
        <f t="shared" si="41"/>
        <v>#DIV/0!</v>
      </c>
      <c r="AT61" s="170" t="e">
        <f t="shared" si="41"/>
        <v>#DIV/0!</v>
      </c>
      <c r="AU61" s="170" t="e">
        <f t="shared" si="41"/>
        <v>#DIV/0!</v>
      </c>
      <c r="AV61" s="170" t="e">
        <f t="shared" si="41"/>
        <v>#DIV/0!</v>
      </c>
      <c r="AW61" s="44"/>
      <c r="AX61" s="44"/>
      <c r="AY61" s="44"/>
      <c r="AZ61" s="44"/>
      <c r="BA61" s="44"/>
      <c r="BB61" s="44"/>
      <c r="BC61" s="44"/>
      <c r="BD61" s="44"/>
      <c r="BE61" s="44"/>
      <c r="BF61" s="105"/>
    </row>
    <row r="62" spans="2:58" ht="13.95" customHeight="1" x14ac:dyDescent="0.3">
      <c r="B62" s="189"/>
      <c r="C62" s="301"/>
      <c r="D62" s="189"/>
      <c r="E62" s="189"/>
      <c r="F62" s="302"/>
      <c r="G62" s="97"/>
      <c r="H62" s="301"/>
      <c r="I62" s="189"/>
      <c r="J62" s="189"/>
      <c r="K62" s="301"/>
      <c r="L62" s="189"/>
      <c r="M62" s="303"/>
      <c r="N62" s="189"/>
      <c r="O62" s="189"/>
      <c r="P62" s="303"/>
      <c r="Q62" s="189"/>
      <c r="R62" s="303"/>
      <c r="S62" s="189"/>
      <c r="AG62" s="65">
        <v>6</v>
      </c>
      <c r="AH62" s="66" t="e">
        <f>"da "&amp;ROUND(AQ40,2)&amp;" a "&amp;ROUND(AQ38,0)&amp;" auto/giorno a 30 kmh"</f>
        <v>#DIV/0!</v>
      </c>
      <c r="AI62" s="45"/>
      <c r="AJ62" s="45"/>
      <c r="AK62" s="46">
        <v>6</v>
      </c>
      <c r="AL62" s="66" t="e">
        <f>"da "&amp;ROUND(AQ62,2)&amp;" a "&amp;ROUND(AQ60,0)&amp;" auto/giorno a 30 kmh"</f>
        <v>#DIV/0!</v>
      </c>
      <c r="AM62" s="66"/>
      <c r="AN62" s="45"/>
      <c r="AO62" s="45"/>
      <c r="AP62" s="72" t="s">
        <v>21</v>
      </c>
      <c r="AQ62" s="151" t="e">
        <f>AQ61/5</f>
        <v>#DIV/0!</v>
      </c>
      <c r="AR62" s="151" t="e">
        <f t="shared" ref="AR62:AV62" si="42">AR61/5</f>
        <v>#DIV/0!</v>
      </c>
      <c r="AS62" s="151" t="e">
        <f t="shared" si="42"/>
        <v>#DIV/0!</v>
      </c>
      <c r="AT62" s="151" t="e">
        <f t="shared" si="42"/>
        <v>#DIV/0!</v>
      </c>
      <c r="AU62" s="151" t="e">
        <f t="shared" si="42"/>
        <v>#DIV/0!</v>
      </c>
      <c r="AV62" s="151" t="e">
        <f t="shared" si="42"/>
        <v>#DIV/0!</v>
      </c>
      <c r="AW62" s="44"/>
      <c r="AX62" s="44"/>
      <c r="AY62" s="44"/>
      <c r="AZ62" s="44"/>
      <c r="BA62" s="44"/>
      <c r="BB62" s="44"/>
      <c r="BC62" s="44"/>
      <c r="BD62" s="44"/>
      <c r="BE62" s="44"/>
      <c r="BF62" s="105"/>
    </row>
    <row r="63" spans="2:58" ht="13.95" customHeight="1" x14ac:dyDescent="0.3">
      <c r="B63" s="189"/>
      <c r="C63" s="301"/>
      <c r="D63" s="189"/>
      <c r="E63" s="189"/>
      <c r="F63" s="302"/>
      <c r="G63" s="97"/>
      <c r="H63" s="301"/>
      <c r="I63" s="189"/>
      <c r="J63" s="189"/>
      <c r="K63" s="301"/>
      <c r="L63" s="189"/>
      <c r="M63" s="303"/>
      <c r="N63" s="189"/>
      <c r="O63" s="189"/>
      <c r="P63" s="303"/>
      <c r="Q63" s="189"/>
      <c r="R63" s="303"/>
      <c r="S63" s="189"/>
      <c r="AG63" s="65">
        <v>7</v>
      </c>
      <c r="AH63" s="66" t="e">
        <f>"da "&amp;ROUND(AQ41,2)&amp;" a "&amp;ROUND(AQ40,2)&amp;" auto/giorno a 30 kmh"</f>
        <v>#DIV/0!</v>
      </c>
      <c r="AI63" s="45"/>
      <c r="AJ63" s="45"/>
      <c r="AK63" s="46">
        <v>7</v>
      </c>
      <c r="AL63" s="66" t="e">
        <f>"da "&amp;ROUND(AQ63,2)&amp;" a "&amp;ROUND(AQ62,2)&amp;" auto/giorno a 30 kmh"</f>
        <v>#DIV/0!</v>
      </c>
      <c r="AM63" s="66"/>
      <c r="AN63" s="45"/>
      <c r="AO63" s="45"/>
      <c r="AP63" s="72" t="s">
        <v>15</v>
      </c>
      <c r="AQ63" s="178" t="e">
        <f t="shared" ref="AQ63:AV63" si="43">AQ61/10</f>
        <v>#DIV/0!</v>
      </c>
      <c r="AR63" s="178" t="e">
        <f t="shared" si="43"/>
        <v>#DIV/0!</v>
      </c>
      <c r="AS63" s="178" t="e">
        <f t="shared" si="43"/>
        <v>#DIV/0!</v>
      </c>
      <c r="AT63" s="178" t="e">
        <f t="shared" si="43"/>
        <v>#DIV/0!</v>
      </c>
      <c r="AU63" s="178" t="e">
        <f t="shared" si="43"/>
        <v>#DIV/0!</v>
      </c>
      <c r="AV63" s="178" t="e">
        <f t="shared" si="43"/>
        <v>#DIV/0!</v>
      </c>
      <c r="AW63" s="44"/>
      <c r="AX63" s="44"/>
      <c r="AY63" s="44"/>
      <c r="AZ63" s="44"/>
      <c r="BA63" s="44"/>
      <c r="BB63" s="44"/>
      <c r="BC63" s="44"/>
      <c r="BD63" s="44"/>
      <c r="BE63" s="44"/>
      <c r="BF63" s="105"/>
    </row>
    <row r="64" spans="2:58" ht="13.95" customHeight="1" x14ac:dyDescent="0.3">
      <c r="B64" s="189"/>
      <c r="C64" s="301"/>
      <c r="D64" s="189"/>
      <c r="E64" s="189"/>
      <c r="F64" s="302"/>
      <c r="G64" s="97"/>
      <c r="H64" s="301"/>
      <c r="I64" s="189"/>
      <c r="J64" s="189"/>
      <c r="K64" s="301"/>
      <c r="L64" s="189"/>
      <c r="M64" s="303"/>
      <c r="N64" s="189"/>
      <c r="O64" s="189"/>
      <c r="P64" s="303"/>
      <c r="Q64" s="189"/>
      <c r="R64" s="303"/>
      <c r="S64" s="189"/>
      <c r="AG64" s="129"/>
      <c r="AH64" s="205"/>
      <c r="AI64" s="205"/>
      <c r="AJ64" s="205"/>
      <c r="AK64" s="205"/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6"/>
      <c r="AX64" s="206"/>
      <c r="AY64" s="206"/>
      <c r="AZ64" s="206"/>
      <c r="BA64" s="206"/>
      <c r="BB64" s="206"/>
      <c r="BC64" s="206"/>
      <c r="BD64" s="206"/>
      <c r="BE64" s="206"/>
      <c r="BF64" s="207"/>
    </row>
    <row r="65" spans="2:48" ht="13.95" customHeight="1" x14ac:dyDescent="0.3">
      <c r="B65" s="189"/>
      <c r="C65" s="301"/>
      <c r="D65" s="189"/>
      <c r="E65" s="189"/>
      <c r="F65" s="302"/>
      <c r="G65" s="97"/>
      <c r="H65" s="301"/>
      <c r="I65" s="189"/>
      <c r="J65" s="189"/>
      <c r="K65" s="301"/>
      <c r="L65" s="189"/>
      <c r="M65" s="303"/>
      <c r="N65" s="189"/>
      <c r="O65" s="189"/>
      <c r="P65" s="303"/>
      <c r="Q65" s="189"/>
      <c r="R65" s="303"/>
      <c r="S65" s="189"/>
    </row>
    <row r="66" spans="2:48" ht="13.95" customHeight="1" x14ac:dyDescent="0.3">
      <c r="B66" s="189"/>
      <c r="C66" s="301"/>
      <c r="D66" s="189"/>
      <c r="E66" s="189"/>
      <c r="F66" s="302"/>
      <c r="G66" s="97"/>
      <c r="H66" s="301"/>
      <c r="I66" s="189"/>
      <c r="J66" s="189"/>
      <c r="K66" s="301"/>
      <c r="L66" s="189"/>
      <c r="M66" s="303"/>
      <c r="N66" s="189"/>
      <c r="O66" s="189"/>
      <c r="P66" s="303"/>
      <c r="Q66" s="189"/>
      <c r="R66" s="303"/>
      <c r="S66" s="189"/>
    </row>
    <row r="67" spans="2:48" ht="16.05" customHeight="1" x14ac:dyDescent="0.3">
      <c r="B67" s="189"/>
      <c r="C67" s="301"/>
      <c r="D67" s="189"/>
      <c r="E67" s="189"/>
      <c r="F67" s="302"/>
      <c r="G67" s="97"/>
      <c r="H67" s="301"/>
      <c r="I67" s="189"/>
      <c r="J67" s="189"/>
      <c r="K67" s="301"/>
      <c r="L67" s="189"/>
      <c r="M67" s="303"/>
      <c r="N67" s="189"/>
      <c r="O67" s="189"/>
      <c r="P67" s="303"/>
      <c r="Q67" s="189"/>
      <c r="R67" s="303"/>
      <c r="S67" s="189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</row>
    <row r="68" spans="2:48" x14ac:dyDescent="0.3">
      <c r="B68" s="189"/>
      <c r="C68" s="301"/>
      <c r="D68" s="189"/>
      <c r="E68" s="189"/>
      <c r="F68" s="302"/>
      <c r="G68" s="97"/>
      <c r="H68" s="301"/>
      <c r="I68" s="189"/>
      <c r="J68" s="189"/>
      <c r="K68" s="301"/>
      <c r="L68" s="189"/>
      <c r="M68" s="303"/>
      <c r="N68" s="189"/>
      <c r="O68" s="189"/>
      <c r="P68" s="303"/>
      <c r="Q68" s="189"/>
      <c r="R68" s="303"/>
      <c r="S68" s="189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</row>
    <row r="69" spans="2:48" x14ac:dyDescent="0.3">
      <c r="B69" s="189"/>
      <c r="C69" s="301"/>
      <c r="D69" s="189"/>
      <c r="E69" s="189"/>
      <c r="F69" s="302"/>
      <c r="G69" s="97"/>
      <c r="H69" s="301"/>
      <c r="I69" s="189"/>
      <c r="J69" s="189"/>
      <c r="K69" s="301"/>
      <c r="L69" s="189"/>
      <c r="M69" s="303"/>
      <c r="N69" s="189"/>
      <c r="O69" s="189"/>
      <c r="P69" s="303"/>
      <c r="Q69" s="189"/>
      <c r="R69" s="303"/>
      <c r="S69" s="189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</row>
    <row r="70" spans="2:48" x14ac:dyDescent="0.3">
      <c r="B70" s="189"/>
      <c r="C70" s="301"/>
      <c r="D70" s="189"/>
      <c r="E70" s="189"/>
      <c r="F70" s="302"/>
      <c r="G70" s="97"/>
      <c r="H70" s="301"/>
      <c r="I70" s="189"/>
      <c r="J70" s="189"/>
      <c r="K70" s="301"/>
      <c r="L70" s="189"/>
      <c r="M70" s="303"/>
      <c r="N70" s="189"/>
      <c r="O70" s="189"/>
      <c r="P70" s="303"/>
      <c r="Q70" s="189"/>
      <c r="R70" s="303"/>
      <c r="S70" s="189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</row>
    <row r="71" spans="2:48" x14ac:dyDescent="0.3">
      <c r="B71" s="189"/>
      <c r="C71" s="301"/>
      <c r="D71" s="189"/>
      <c r="E71" s="189"/>
      <c r="F71" s="302"/>
      <c r="G71" s="97"/>
      <c r="H71" s="301"/>
      <c r="I71" s="189"/>
      <c r="J71" s="189"/>
      <c r="K71" s="301"/>
      <c r="L71" s="189"/>
      <c r="M71" s="303"/>
      <c r="N71" s="189"/>
      <c r="O71" s="189"/>
      <c r="P71" s="303"/>
      <c r="Q71" s="189"/>
      <c r="R71" s="303"/>
      <c r="S71" s="189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</row>
    <row r="72" spans="2:48" x14ac:dyDescent="0.3">
      <c r="B72" s="189"/>
      <c r="C72" s="301"/>
      <c r="D72" s="189"/>
      <c r="E72" s="189"/>
      <c r="F72" s="302"/>
      <c r="G72" s="97"/>
      <c r="H72" s="301"/>
      <c r="I72" s="189"/>
      <c r="J72" s="189"/>
      <c r="K72" s="301"/>
      <c r="L72" s="189"/>
      <c r="M72" s="303"/>
      <c r="N72" s="189"/>
      <c r="O72" s="189"/>
      <c r="P72" s="303"/>
      <c r="Q72" s="189"/>
      <c r="R72" s="303"/>
      <c r="S72" s="189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</row>
    <row r="73" spans="2:48" x14ac:dyDescent="0.3">
      <c r="B73" s="189"/>
      <c r="C73" s="301"/>
      <c r="D73" s="189"/>
      <c r="E73" s="189"/>
      <c r="F73" s="302"/>
      <c r="G73" s="97"/>
      <c r="H73" s="301"/>
      <c r="I73" s="189"/>
      <c r="J73" s="189"/>
      <c r="K73" s="301"/>
      <c r="L73" s="189"/>
      <c r="M73" s="303"/>
      <c r="N73" s="189"/>
      <c r="O73" s="189"/>
      <c r="P73" s="303"/>
      <c r="Q73" s="189"/>
      <c r="R73" s="303"/>
      <c r="S73" s="189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</row>
    <row r="74" spans="2:48" x14ac:dyDescent="0.3">
      <c r="B74" s="189"/>
      <c r="C74" s="301"/>
      <c r="D74" s="189"/>
      <c r="E74" s="189"/>
      <c r="F74" s="302"/>
      <c r="G74" s="97"/>
      <c r="H74" s="301"/>
      <c r="I74" s="189"/>
      <c r="J74" s="189"/>
      <c r="K74" s="301"/>
      <c r="L74" s="189"/>
      <c r="M74" s="303"/>
      <c r="N74" s="189"/>
      <c r="O74" s="189"/>
      <c r="P74" s="303"/>
      <c r="Q74" s="189"/>
      <c r="R74" s="303"/>
      <c r="S74" s="189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</row>
    <row r="75" spans="2:48" x14ac:dyDescent="0.3">
      <c r="B75" s="189"/>
      <c r="C75" s="301"/>
      <c r="D75" s="189"/>
      <c r="E75" s="189"/>
      <c r="F75" s="302"/>
      <c r="G75" s="97"/>
      <c r="H75" s="301"/>
      <c r="I75" s="189"/>
      <c r="J75" s="189"/>
      <c r="K75" s="301"/>
      <c r="L75" s="189"/>
      <c r="M75" s="303"/>
      <c r="N75" s="189"/>
      <c r="O75" s="189"/>
      <c r="P75" s="303"/>
      <c r="Q75" s="189"/>
      <c r="R75" s="303"/>
      <c r="S75" s="189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</row>
    <row r="76" spans="2:48" x14ac:dyDescent="0.3">
      <c r="B76" s="189"/>
      <c r="C76" s="301"/>
      <c r="D76" s="189"/>
      <c r="E76" s="189"/>
      <c r="F76" s="302"/>
      <c r="G76" s="97"/>
      <c r="H76" s="301"/>
      <c r="I76" s="189"/>
      <c r="J76" s="189"/>
      <c r="K76" s="301"/>
      <c r="L76" s="189"/>
      <c r="M76" s="303"/>
      <c r="N76" s="189"/>
      <c r="O76" s="189"/>
      <c r="P76" s="303"/>
      <c r="Q76" s="189"/>
      <c r="R76" s="303"/>
      <c r="S76" s="189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</row>
    <row r="77" spans="2:48" x14ac:dyDescent="0.3">
      <c r="B77" s="189"/>
      <c r="C77" s="301"/>
      <c r="D77" s="189"/>
      <c r="E77" s="189"/>
      <c r="F77" s="302"/>
      <c r="G77" s="97"/>
      <c r="H77" s="301"/>
      <c r="I77" s="189"/>
      <c r="J77" s="189"/>
      <c r="K77" s="301"/>
      <c r="L77" s="189"/>
      <c r="M77" s="303"/>
      <c r="N77" s="189"/>
      <c r="O77" s="189"/>
      <c r="P77" s="303"/>
      <c r="Q77" s="189"/>
      <c r="R77" s="303"/>
      <c r="S77" s="189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</row>
    <row r="78" spans="2:48" x14ac:dyDescent="0.3">
      <c r="B78" s="189"/>
      <c r="C78" s="301"/>
      <c r="D78" s="189"/>
      <c r="E78" s="189"/>
      <c r="F78" s="302"/>
      <c r="G78" s="97"/>
      <c r="H78" s="301"/>
      <c r="I78" s="189"/>
      <c r="J78" s="189"/>
      <c r="K78" s="301"/>
      <c r="L78" s="189"/>
      <c r="M78" s="303"/>
      <c r="N78" s="189"/>
      <c r="O78" s="189"/>
      <c r="P78" s="303"/>
      <c r="Q78" s="189"/>
      <c r="R78" s="303"/>
      <c r="S78" s="189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</row>
    <row r="79" spans="2:48" x14ac:dyDescent="0.3">
      <c r="B79" s="189"/>
      <c r="C79" s="301"/>
      <c r="D79" s="189"/>
      <c r="E79" s="189"/>
      <c r="F79" s="302"/>
      <c r="G79" s="97"/>
      <c r="H79" s="301"/>
      <c r="I79" s="189"/>
      <c r="J79" s="189"/>
      <c r="K79" s="301"/>
      <c r="L79" s="189"/>
      <c r="M79" s="303"/>
      <c r="N79" s="189"/>
      <c r="O79" s="189"/>
      <c r="P79" s="303"/>
      <c r="Q79" s="189"/>
      <c r="R79" s="303"/>
      <c r="S79" s="189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</row>
    <row r="80" spans="2:48" x14ac:dyDescent="0.3">
      <c r="B80" s="189"/>
      <c r="C80" s="301"/>
      <c r="D80" s="189"/>
      <c r="E80" s="189"/>
      <c r="F80" s="302"/>
      <c r="G80" s="97"/>
      <c r="H80" s="301"/>
      <c r="I80" s="189"/>
      <c r="J80" s="189"/>
      <c r="K80" s="301"/>
      <c r="L80" s="189"/>
      <c r="M80" s="303"/>
      <c r="N80" s="189"/>
      <c r="O80" s="189"/>
      <c r="P80" s="303"/>
      <c r="Q80" s="189"/>
      <c r="R80" s="303"/>
      <c r="S80" s="189"/>
    </row>
    <row r="81" spans="2:19" x14ac:dyDescent="0.3">
      <c r="B81" s="189"/>
      <c r="C81" s="301"/>
      <c r="D81" s="189"/>
      <c r="E81" s="189"/>
      <c r="F81" s="302"/>
      <c r="G81" s="97"/>
      <c r="H81" s="301"/>
      <c r="I81" s="189"/>
      <c r="J81" s="189"/>
      <c r="K81" s="301"/>
      <c r="L81" s="189"/>
      <c r="M81" s="303"/>
      <c r="N81" s="189"/>
      <c r="O81" s="189"/>
      <c r="P81" s="303"/>
      <c r="Q81" s="189"/>
      <c r="R81" s="303"/>
      <c r="S81" s="189"/>
    </row>
    <row r="82" spans="2:19" x14ac:dyDescent="0.3">
      <c r="B82" s="189"/>
      <c r="C82" s="301"/>
      <c r="D82" s="189"/>
      <c r="E82" s="189"/>
      <c r="F82" s="302"/>
      <c r="G82" s="97"/>
      <c r="H82" s="301"/>
      <c r="I82" s="189"/>
      <c r="J82" s="189"/>
      <c r="K82" s="301"/>
      <c r="L82" s="189"/>
      <c r="M82" s="303"/>
      <c r="N82" s="189"/>
      <c r="O82" s="189"/>
      <c r="P82" s="303"/>
      <c r="Q82" s="189"/>
      <c r="R82" s="303"/>
      <c r="S82" s="189"/>
    </row>
    <row r="83" spans="2:19" x14ac:dyDescent="0.3">
      <c r="B83" s="189"/>
      <c r="C83" s="301"/>
      <c r="D83" s="189"/>
      <c r="E83" s="189"/>
      <c r="F83" s="302"/>
      <c r="G83" s="97"/>
      <c r="H83" s="301"/>
      <c r="I83" s="189"/>
      <c r="J83" s="189"/>
      <c r="K83" s="301"/>
      <c r="L83" s="189"/>
      <c r="M83" s="303"/>
      <c r="N83" s="189"/>
      <c r="O83" s="189"/>
      <c r="P83" s="303"/>
      <c r="Q83" s="189"/>
      <c r="R83" s="303"/>
      <c r="S83" s="189"/>
    </row>
    <row r="84" spans="2:19" x14ac:dyDescent="0.3">
      <c r="B84" s="189"/>
      <c r="C84" s="301"/>
      <c r="D84" s="189"/>
      <c r="E84" s="189"/>
      <c r="F84" s="302"/>
      <c r="G84" s="97"/>
      <c r="H84" s="301"/>
      <c r="I84" s="189"/>
      <c r="J84" s="189"/>
      <c r="K84" s="301"/>
      <c r="L84" s="189"/>
      <c r="M84" s="303"/>
      <c r="N84" s="189"/>
      <c r="O84" s="189"/>
      <c r="P84" s="303"/>
      <c r="Q84" s="189"/>
      <c r="R84" s="303"/>
      <c r="S84" s="189"/>
    </row>
    <row r="85" spans="2:19" x14ac:dyDescent="0.3">
      <c r="B85" s="189"/>
      <c r="C85" s="301"/>
      <c r="D85" s="189"/>
      <c r="E85" s="189"/>
      <c r="F85" s="302"/>
      <c r="G85" s="97"/>
      <c r="H85" s="301"/>
      <c r="I85" s="189"/>
      <c r="J85" s="189"/>
      <c r="K85" s="301"/>
      <c r="L85" s="189"/>
      <c r="M85" s="303"/>
      <c r="N85" s="189"/>
      <c r="O85" s="189"/>
      <c r="P85" s="303"/>
      <c r="Q85" s="189"/>
      <c r="R85" s="303"/>
      <c r="S85" s="189"/>
    </row>
    <row r="86" spans="2:19" x14ac:dyDescent="0.3">
      <c r="B86" s="189"/>
      <c r="C86" s="301"/>
      <c r="D86" s="189"/>
      <c r="E86" s="189"/>
      <c r="F86" s="302"/>
      <c r="G86" s="97"/>
      <c r="H86" s="301"/>
      <c r="I86" s="189"/>
      <c r="J86" s="189"/>
      <c r="K86" s="301"/>
      <c r="L86" s="189"/>
      <c r="M86" s="303"/>
      <c r="N86" s="189"/>
      <c r="O86" s="189"/>
      <c r="P86" s="303"/>
      <c r="Q86" s="189"/>
      <c r="R86" s="303"/>
      <c r="S86" s="189"/>
    </row>
    <row r="87" spans="2:19" x14ac:dyDescent="0.3">
      <c r="B87" s="189"/>
      <c r="C87" s="301"/>
      <c r="D87" s="189"/>
      <c r="E87" s="189"/>
      <c r="F87" s="302"/>
      <c r="G87" s="97"/>
      <c r="H87" s="301"/>
      <c r="I87" s="189"/>
      <c r="J87" s="189"/>
      <c r="K87" s="301"/>
      <c r="L87" s="189"/>
      <c r="M87" s="303"/>
      <c r="N87" s="189"/>
      <c r="O87" s="189"/>
      <c r="P87" s="303"/>
      <c r="Q87" s="189"/>
      <c r="R87" s="303"/>
      <c r="S87" s="189"/>
    </row>
    <row r="88" spans="2:19" x14ac:dyDescent="0.3">
      <c r="B88" s="189"/>
      <c r="C88" s="301"/>
      <c r="D88" s="189"/>
      <c r="E88" s="189"/>
      <c r="F88" s="302"/>
      <c r="G88" s="97"/>
      <c r="H88" s="301"/>
      <c r="I88" s="189"/>
      <c r="J88" s="189"/>
      <c r="K88" s="301"/>
      <c r="L88" s="189"/>
      <c r="M88" s="303"/>
      <c r="N88" s="189"/>
      <c r="O88" s="189"/>
      <c r="P88" s="303"/>
      <c r="Q88" s="189"/>
      <c r="R88" s="303"/>
      <c r="S88" s="189"/>
    </row>
    <row r="89" spans="2:19" x14ac:dyDescent="0.3">
      <c r="B89" s="189"/>
      <c r="C89" s="301"/>
      <c r="D89" s="189"/>
      <c r="E89" s="189"/>
      <c r="F89" s="302"/>
      <c r="G89" s="97"/>
      <c r="H89" s="301"/>
      <c r="I89" s="189"/>
      <c r="J89" s="189"/>
      <c r="K89" s="301"/>
      <c r="L89" s="189"/>
      <c r="M89" s="303"/>
      <c r="N89" s="189"/>
      <c r="O89" s="189"/>
      <c r="P89" s="303"/>
      <c r="Q89" s="189"/>
      <c r="R89" s="303"/>
      <c r="S89" s="189"/>
    </row>
    <row r="90" spans="2:19" x14ac:dyDescent="0.3">
      <c r="B90" s="189"/>
      <c r="C90" s="301"/>
      <c r="D90" s="189"/>
      <c r="E90" s="189"/>
      <c r="F90" s="302"/>
      <c r="G90" s="97"/>
      <c r="H90" s="301"/>
      <c r="I90" s="189"/>
      <c r="J90" s="189"/>
      <c r="K90" s="301"/>
      <c r="L90" s="189"/>
      <c r="M90" s="303"/>
      <c r="N90" s="189"/>
      <c r="O90" s="189"/>
      <c r="P90" s="303"/>
      <c r="Q90" s="189"/>
      <c r="R90" s="303"/>
      <c r="S90" s="189"/>
    </row>
    <row r="91" spans="2:19" x14ac:dyDescent="0.3">
      <c r="B91" s="189"/>
      <c r="C91" s="301"/>
      <c r="D91" s="189"/>
      <c r="E91" s="189"/>
      <c r="F91" s="302"/>
      <c r="G91" s="97"/>
      <c r="H91" s="301"/>
      <c r="I91" s="189"/>
      <c r="J91" s="189"/>
      <c r="K91" s="301"/>
      <c r="L91" s="189"/>
      <c r="M91" s="303"/>
      <c r="N91" s="189"/>
      <c r="O91" s="189"/>
      <c r="P91" s="303"/>
      <c r="Q91" s="189"/>
      <c r="R91" s="303"/>
      <c r="S91" s="189"/>
    </row>
    <row r="92" spans="2:19" x14ac:dyDescent="0.3">
      <c r="B92" s="189"/>
      <c r="C92" s="301"/>
      <c r="D92" s="189"/>
      <c r="E92" s="189"/>
      <c r="F92" s="302"/>
      <c r="G92" s="97"/>
      <c r="H92" s="301"/>
      <c r="I92" s="189"/>
      <c r="J92" s="189"/>
      <c r="K92" s="301"/>
      <c r="L92" s="189"/>
      <c r="M92" s="303"/>
      <c r="N92" s="189"/>
      <c r="O92" s="189"/>
      <c r="P92" s="303"/>
      <c r="Q92" s="189"/>
      <c r="R92" s="303"/>
      <c r="S92" s="189"/>
    </row>
    <row r="93" spans="2:19" x14ac:dyDescent="0.3">
      <c r="B93" s="189"/>
      <c r="C93" s="301"/>
      <c r="D93" s="189"/>
      <c r="E93" s="189"/>
      <c r="F93" s="302"/>
      <c r="G93" s="97"/>
      <c r="H93" s="301"/>
      <c r="I93" s="189"/>
      <c r="J93" s="189"/>
      <c r="K93" s="301"/>
      <c r="L93" s="189"/>
      <c r="M93" s="303"/>
      <c r="N93" s="189"/>
      <c r="O93" s="189"/>
      <c r="P93" s="303"/>
      <c r="Q93" s="189"/>
      <c r="R93" s="303"/>
      <c r="S93" s="189"/>
    </row>
    <row r="94" spans="2:19" x14ac:dyDescent="0.3">
      <c r="B94" s="189"/>
      <c r="C94" s="301"/>
      <c r="D94" s="189"/>
      <c r="E94" s="189"/>
      <c r="F94" s="302"/>
      <c r="G94" s="97"/>
      <c r="H94" s="301"/>
      <c r="I94" s="189"/>
      <c r="J94" s="189"/>
      <c r="K94" s="301"/>
      <c r="L94" s="189"/>
      <c r="M94" s="303"/>
      <c r="N94" s="189"/>
      <c r="O94" s="189"/>
      <c r="P94" s="303"/>
      <c r="Q94" s="189"/>
      <c r="R94" s="303"/>
      <c r="S94" s="189"/>
    </row>
    <row r="95" spans="2:19" x14ac:dyDescent="0.3">
      <c r="B95" s="189"/>
      <c r="C95" s="301"/>
      <c r="D95" s="189"/>
      <c r="E95" s="189"/>
      <c r="F95" s="302"/>
      <c r="G95" s="97"/>
      <c r="H95" s="301"/>
      <c r="I95" s="189"/>
      <c r="J95" s="189"/>
      <c r="K95" s="301"/>
      <c r="L95" s="189"/>
      <c r="M95" s="303"/>
      <c r="N95" s="189"/>
      <c r="O95" s="189"/>
      <c r="P95" s="303"/>
      <c r="Q95" s="189"/>
      <c r="R95" s="303"/>
      <c r="S95" s="189"/>
    </row>
    <row r="96" spans="2:19" x14ac:dyDescent="0.3">
      <c r="B96" s="189"/>
      <c r="C96" s="301"/>
      <c r="D96" s="189"/>
      <c r="E96" s="189"/>
      <c r="F96" s="302"/>
      <c r="G96" s="97"/>
    </row>
    <row r="97" spans="2:46" x14ac:dyDescent="0.3">
      <c r="B97" s="189"/>
      <c r="C97" s="301"/>
      <c r="D97" s="189"/>
      <c r="E97" s="189"/>
      <c r="F97" s="302"/>
      <c r="G97" s="97"/>
    </row>
    <row r="98" spans="2:46" x14ac:dyDescent="0.3">
      <c r="B98" s="189"/>
      <c r="C98" s="301"/>
      <c r="D98" s="189"/>
      <c r="E98" s="189"/>
      <c r="F98" s="302"/>
      <c r="G98" s="97"/>
    </row>
    <row r="99" spans="2:46" x14ac:dyDescent="0.3">
      <c r="B99" s="189"/>
      <c r="C99" s="301"/>
      <c r="D99" s="189"/>
      <c r="E99" s="189"/>
      <c r="F99" s="302"/>
      <c r="G99" s="97"/>
    </row>
    <row r="100" spans="2:46" x14ac:dyDescent="0.3">
      <c r="B100" s="189"/>
      <c r="C100" s="301"/>
      <c r="D100" s="189"/>
      <c r="E100" s="189"/>
      <c r="F100" s="302"/>
      <c r="G100" s="97"/>
    </row>
    <row r="101" spans="2:46" x14ac:dyDescent="0.3">
      <c r="B101" s="189"/>
      <c r="C101" s="301"/>
      <c r="D101" s="189"/>
      <c r="E101" s="189"/>
      <c r="F101" s="302"/>
      <c r="G101" s="97"/>
    </row>
    <row r="102" spans="2:46" x14ac:dyDescent="0.3">
      <c r="B102" s="189"/>
      <c r="C102" s="301"/>
      <c r="D102" s="189"/>
      <c r="E102" s="189"/>
      <c r="F102" s="302"/>
      <c r="G102" s="97"/>
    </row>
    <row r="103" spans="2:46" x14ac:dyDescent="0.3">
      <c r="B103" s="189"/>
      <c r="C103" s="301"/>
      <c r="D103" s="189"/>
      <c r="E103" s="189"/>
      <c r="F103" s="302"/>
      <c r="G103" s="97"/>
    </row>
    <row r="104" spans="2:46" x14ac:dyDescent="0.3">
      <c r="B104" s="189"/>
      <c r="C104" s="301"/>
      <c r="D104" s="189"/>
      <c r="E104" s="189"/>
      <c r="F104" s="302"/>
      <c r="G104" s="97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</row>
    <row r="105" spans="2:46" x14ac:dyDescent="0.3">
      <c r="B105" s="189"/>
      <c r="C105" s="301"/>
      <c r="D105" s="189"/>
      <c r="E105" s="189"/>
      <c r="F105" s="302"/>
      <c r="G105" s="97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</row>
    <row r="106" spans="2:46" x14ac:dyDescent="0.3">
      <c r="B106" s="189"/>
      <c r="C106" s="301"/>
      <c r="D106" s="189"/>
      <c r="E106" s="189"/>
      <c r="F106" s="302"/>
      <c r="G106" s="97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</row>
    <row r="107" spans="2:46" x14ac:dyDescent="0.3">
      <c r="B107" s="189"/>
      <c r="C107" s="301"/>
      <c r="D107" s="189"/>
      <c r="E107" s="189"/>
      <c r="F107" s="302"/>
      <c r="G107" s="97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</row>
    <row r="108" spans="2:46" x14ac:dyDescent="0.3"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</row>
    <row r="109" spans="2:46" x14ac:dyDescent="0.3"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</row>
    <row r="110" spans="2:46" x14ac:dyDescent="0.3"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</row>
    <row r="111" spans="2:46" x14ac:dyDescent="0.3"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</row>
    <row r="112" spans="2:46" x14ac:dyDescent="0.3"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</row>
    <row r="113" spans="31:46" x14ac:dyDescent="0.3"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</row>
    <row r="114" spans="31:46" x14ac:dyDescent="0.3"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</row>
    <row r="115" spans="31:46" x14ac:dyDescent="0.3"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</row>
    <row r="116" spans="31:46" x14ac:dyDescent="0.3"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</row>
    <row r="117" spans="31:46" x14ac:dyDescent="0.3"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</row>
    <row r="118" spans="31:46" x14ac:dyDescent="0.3"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</row>
  </sheetData>
  <sheetProtection algorithmName="SHA-512" hashValue="E7/u8HbCGzXjMdGoSpbifmTDsOsDG8IX+t8yPo9APj0MaMH4NscA00xKgl5OqOxTj3wiX2czbugvtl0Cg2cDfw==" saltValue="IwfBM48k4Y0jNfL4NMO6jA==" spinCount="100000" sheet="1" objects="1" scenarios="1" selectLockedCells="1"/>
  <dataConsolidate/>
  <mergeCells count="82">
    <mergeCell ref="BI9:BK9"/>
    <mergeCell ref="C30:U30"/>
    <mergeCell ref="B28:I28"/>
    <mergeCell ref="J28:K28"/>
    <mergeCell ref="L28:N28"/>
    <mergeCell ref="O28:P28"/>
    <mergeCell ref="Q28:S28"/>
    <mergeCell ref="T28:U28"/>
    <mergeCell ref="T27:U27"/>
    <mergeCell ref="B23:D23"/>
    <mergeCell ref="E23:F23"/>
    <mergeCell ref="G23:P23"/>
    <mergeCell ref="B25:U25"/>
    <mergeCell ref="B26:I26"/>
    <mergeCell ref="J26:K26"/>
    <mergeCell ref="L26:N26"/>
    <mergeCell ref="O26:P26"/>
    <mergeCell ref="Q26:S26"/>
    <mergeCell ref="T26:U26"/>
    <mergeCell ref="B27:I27"/>
    <mergeCell ref="J27:K27"/>
    <mergeCell ref="L27:N27"/>
    <mergeCell ref="O27:P27"/>
    <mergeCell ref="Q27:S27"/>
    <mergeCell ref="B20:D20"/>
    <mergeCell ref="E20:F20"/>
    <mergeCell ref="G20:P20"/>
    <mergeCell ref="R20:U23"/>
    <mergeCell ref="B21:D21"/>
    <mergeCell ref="E21:F21"/>
    <mergeCell ref="G21:P21"/>
    <mergeCell ref="B22:D22"/>
    <mergeCell ref="E22:F22"/>
    <mergeCell ref="G22:P22"/>
    <mergeCell ref="B19:U19"/>
    <mergeCell ref="B15:U15"/>
    <mergeCell ref="C16:H16"/>
    <mergeCell ref="J16:L16"/>
    <mergeCell ref="N16:Q16"/>
    <mergeCell ref="S16:U16"/>
    <mergeCell ref="C17:H17"/>
    <mergeCell ref="I17:I18"/>
    <mergeCell ref="J17:K17"/>
    <mergeCell ref="N17:Q17"/>
    <mergeCell ref="R17:R18"/>
    <mergeCell ref="T17:U17"/>
    <mergeCell ref="C18:H18"/>
    <mergeCell ref="J18:K18"/>
    <mergeCell ref="M18:Q18"/>
    <mergeCell ref="T18:U18"/>
    <mergeCell ref="E12:G12"/>
    <mergeCell ref="H12:S12"/>
    <mergeCell ref="E13:G13"/>
    <mergeCell ref="H13:S13"/>
    <mergeCell ref="E14:G14"/>
    <mergeCell ref="H14:S14"/>
    <mergeCell ref="L8:M8"/>
    <mergeCell ref="N8:P8"/>
    <mergeCell ref="Q8:R8"/>
    <mergeCell ref="B10:U10"/>
    <mergeCell ref="E11:G11"/>
    <mergeCell ref="H11:S11"/>
    <mergeCell ref="E9:F9"/>
    <mergeCell ref="J9:K9"/>
    <mergeCell ref="O9:P9"/>
    <mergeCell ref="T9:U9"/>
    <mergeCell ref="S8:U8"/>
    <mergeCell ref="D8:H8"/>
    <mergeCell ref="I8:K8"/>
    <mergeCell ref="S7:U7"/>
    <mergeCell ref="D2:N4"/>
    <mergeCell ref="AD2:AE2"/>
    <mergeCell ref="T4:U4"/>
    <mergeCell ref="B5:U5"/>
    <mergeCell ref="B6:C6"/>
    <mergeCell ref="D6:F6"/>
    <mergeCell ref="J6:Q6"/>
    <mergeCell ref="C7:D7"/>
    <mergeCell ref="E7:F7"/>
    <mergeCell ref="G7:H7"/>
    <mergeCell ref="J7:L7"/>
    <mergeCell ref="N7:Q7"/>
  </mergeCells>
  <conditionalFormatting sqref="C18">
    <cfRule type="cellIs" dxfId="341" priority="44" operator="equal">
      <formula>2</formula>
    </cfRule>
    <cfRule type="cellIs" dxfId="340" priority="45" operator="equal">
      <formula>6</formula>
    </cfRule>
    <cfRule type="cellIs" dxfId="339" priority="46" operator="equal">
      <formula>5</formula>
    </cfRule>
    <cfRule type="cellIs" dxfId="338" priority="47" operator="equal">
      <formula>1</formula>
    </cfRule>
    <cfRule type="cellIs" dxfId="337" priority="48" operator="equal">
      <formula>3</formula>
    </cfRule>
    <cfRule type="cellIs" dxfId="336" priority="49" operator="equal">
      <formula>4</formula>
    </cfRule>
  </conditionalFormatting>
  <conditionalFormatting sqref="E11:E14 L18 T18">
    <cfRule type="cellIs" dxfId="335" priority="90" operator="equal">
      <formula>7</formula>
    </cfRule>
    <cfRule type="cellIs" dxfId="334" priority="94" operator="equal">
      <formula>1</formula>
    </cfRule>
  </conditionalFormatting>
  <conditionalFormatting sqref="E11:E14 T18">
    <cfRule type="cellIs" dxfId="333" priority="91" operator="equal">
      <formula>2</formula>
    </cfRule>
    <cfRule type="cellIs" dxfId="332" priority="96" operator="equal">
      <formula>3</formula>
    </cfRule>
  </conditionalFormatting>
  <conditionalFormatting sqref="E11:E14">
    <cfRule type="containsText" dxfId="331" priority="64" operator="containsText" text="6 ind">
      <formula>NOT(ISERROR(SEARCH("6 ind",E11)))</formula>
    </cfRule>
    <cfRule type="containsText" dxfId="330" priority="65" operator="containsText" text="5 ind">
      <formula>NOT(ISERROR(SEARCH("5 ind",E11)))</formula>
    </cfRule>
    <cfRule type="containsText" dxfId="329" priority="66" operator="containsText" text="7 ind">
      <formula>NOT(ISERROR(SEARCH("7 ind",E11)))</formula>
    </cfRule>
    <cfRule type="containsText" dxfId="328" priority="67" operator="containsText" text="1 ind">
      <formula>NOT(ISERROR(SEARCH("1 ind",E11)))</formula>
    </cfRule>
    <cfRule type="containsText" dxfId="327" priority="68" operator="containsText" text="2 ind">
      <formula>NOT(ISERROR(SEARCH("2 ind",E11)))</formula>
    </cfRule>
    <cfRule type="containsText" dxfId="326" priority="69" operator="containsText" text="3 ind">
      <formula>NOT(ISERROR(SEARCH("3 ind",E11)))</formula>
    </cfRule>
    <cfRule type="containsText" dxfId="325" priority="70" operator="containsText" text="4 ind">
      <formula>NOT(ISERROR(SEARCH("4 ind",E11)))</formula>
    </cfRule>
    <cfRule type="cellIs" dxfId="324" priority="87" operator="equal">
      <formula>4</formula>
    </cfRule>
    <cfRule type="cellIs" dxfId="323" priority="88" operator="equal">
      <formula>5</formula>
    </cfRule>
    <cfRule type="cellIs" dxfId="322" priority="89" operator="equal">
      <formula>6</formula>
    </cfRule>
  </conditionalFormatting>
  <conditionalFormatting sqref="E20:E23">
    <cfRule type="cellIs" dxfId="321" priority="21" operator="equal">
      <formula>0</formula>
    </cfRule>
    <cfRule type="cellIs" dxfId="320" priority="22" operator="equal">
      <formula>7</formula>
    </cfRule>
    <cfRule type="cellIs" dxfId="319" priority="23" operator="equal">
      <formula>2</formula>
    </cfRule>
    <cfRule type="cellIs" dxfId="318" priority="24" operator="equal">
      <formula>6</formula>
    </cfRule>
    <cfRule type="cellIs" dxfId="317" priority="25" operator="equal">
      <formula>5</formula>
    </cfRule>
    <cfRule type="cellIs" dxfId="316" priority="26" operator="equal">
      <formula>1</formula>
    </cfRule>
    <cfRule type="cellIs" dxfId="315" priority="28" operator="equal">
      <formula>3</formula>
    </cfRule>
    <cfRule type="cellIs" dxfId="314" priority="29" operator="equal">
      <formula>4</formula>
    </cfRule>
  </conditionalFormatting>
  <conditionalFormatting sqref="H11:H14">
    <cfRule type="containsText" dxfId="313" priority="60" operator="containsText" text="rischio inaccettabile - abbattimento o controllo del rischio">
      <formula>NOT(ISERROR(SEARCH("rischio inaccettabile - abbattimento o controllo del rischio",H11)))</formula>
    </cfRule>
    <cfRule type="containsText" dxfId="312" priority="61" operator="containsText" text="rischio tollerabile per accordo ma inaccettabile se imposto a terzi">
      <formula>NOT(ISERROR(SEARCH("rischio tollerabile per accordo ma inaccettabile se imposto a terzi",H11)))</formula>
    </cfRule>
    <cfRule type="containsText" dxfId="311" priority="62" operator="containsText" text="rischio tollerabile se ALARP - valutare costi/benefici del controllo">
      <formula>NOT(ISERROR(SEARCH("rischio tollerabile se ALARP - valutare costi/benefici del controllo",H11)))</formula>
    </cfRule>
    <cfRule type="containsText" dxfId="310" priority="63" operator="containsText" text="rischio largamente accettabile">
      <formula>NOT(ISERROR(SEARCH("rischio largamente accettabile",H11)))</formula>
    </cfRule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ellIs" dxfId="309" priority="71" operator="equal">
      <formula>7</formula>
    </cfRule>
    <cfRule type="cellIs" dxfId="308" priority="72" operator="equal">
      <formula>2</formula>
    </cfRule>
    <cfRule type="cellIs" dxfId="307" priority="73" operator="equal">
      <formula>6</formula>
    </cfRule>
    <cfRule type="cellIs" dxfId="306" priority="74" operator="equal">
      <formula>5</formula>
    </cfRule>
    <cfRule type="cellIs" dxfId="305" priority="75" operator="equal">
      <formula>1</formula>
    </cfRule>
    <cfRule type="cellIs" dxfId="304" priority="77" operator="equal">
      <formula>3</formula>
    </cfRule>
    <cfRule type="cellIs" dxfId="303" priority="78" operator="equal">
      <formula>4</formula>
    </cfRule>
  </conditionalFormatting>
  <conditionalFormatting sqref="J27:J28">
    <cfRule type="cellIs" dxfId="302" priority="81" operator="equal">
      <formula>"IN ATTESA DI VERIFICA"</formula>
    </cfRule>
    <cfRule type="cellIs" dxfId="301" priority="82" operator="equal">
      <formula>"""IN ATTESA DI VERIFICA"""</formula>
    </cfRule>
    <cfRule type="cellIs" dxfId="300" priority="83" operator="equal">
      <formula>"non accettabile"</formula>
    </cfRule>
    <cfRule type="cellIs" dxfId="299" priority="84" operator="equal">
      <formula>"tollerabile"</formula>
    </cfRule>
    <cfRule type="cellIs" dxfId="298" priority="85" operator="equal">
      <formula>"non tollerabile se imposto a terzi"</formula>
    </cfRule>
    <cfRule type="cellIs" dxfId="297" priority="86" operator="equal">
      <formula>"largamente accettabile"</formula>
    </cfRule>
  </conditionalFormatting>
  <conditionalFormatting sqref="L18">
    <cfRule type="cellIs" dxfId="296" priority="105" operator="equal">
      <formula>2</formula>
    </cfRule>
    <cfRule type="cellIs" dxfId="295" priority="106" operator="equal">
      <formula>3</formula>
    </cfRule>
    <cfRule type="cellIs" dxfId="294" priority="107" operator="equal">
      <formula>1</formula>
    </cfRule>
    <cfRule type="cellIs" dxfId="293" priority="108" operator="equal">
      <formula>4</formula>
    </cfRule>
    <cfRule type="cellIs" dxfId="292" priority="109" operator="between">
      <formula>1</formula>
      <formula>3</formula>
    </cfRule>
    <cfRule type="cellIs" dxfId="291" priority="110" operator="equal">
      <formula>4</formula>
    </cfRule>
  </conditionalFormatting>
  <conditionalFormatting sqref="L18:M18">
    <cfRule type="cellIs" dxfId="290" priority="38" operator="equal">
      <formula>2</formula>
    </cfRule>
    <cfRule type="cellIs" dxfId="289" priority="39" operator="equal">
      <formula>6</formula>
    </cfRule>
    <cfRule type="cellIs" dxfId="288" priority="40" operator="equal">
      <formula>5</formula>
    </cfRule>
    <cfRule type="cellIs" dxfId="287" priority="42" operator="equal">
      <formula>3</formula>
    </cfRule>
  </conditionalFormatting>
  <conditionalFormatting sqref="M18">
    <cfRule type="cellIs" dxfId="286" priority="41" operator="equal">
      <formula>1</formula>
    </cfRule>
    <cfRule type="cellIs" dxfId="285" priority="43" operator="equal">
      <formula>4</formula>
    </cfRule>
  </conditionalFormatting>
  <conditionalFormatting sqref="O27:O28">
    <cfRule type="cellIs" dxfId="284" priority="32" operator="equal">
      <formula>"IN ATTESA DI VERIFICA"</formula>
    </cfRule>
    <cfRule type="cellIs" dxfId="283" priority="33" operator="equal">
      <formula>"""IN ATTESA DI VERIFICA"""</formula>
    </cfRule>
    <cfRule type="cellIs" dxfId="282" priority="34" operator="equal">
      <formula>"non accettabile"</formula>
    </cfRule>
    <cfRule type="cellIs" dxfId="281" priority="35" operator="equal">
      <formula>"tollerabile"</formula>
    </cfRule>
    <cfRule type="cellIs" dxfId="280" priority="36" operator="equal">
      <formula>"non tollerabile se imposto a terzi"</formula>
    </cfRule>
    <cfRule type="cellIs" dxfId="279" priority="37" operator="equal">
      <formula>"largamente accettabile"</formula>
    </cfRule>
  </conditionalFormatting>
  <conditionalFormatting sqref="R17">
    <cfRule type="cellIs" dxfId="278" priority="50" operator="equal">
      <formula>7</formula>
    </cfRule>
    <cfRule type="cellIs" dxfId="277" priority="51" operator="equal">
      <formula>2</formula>
    </cfRule>
    <cfRule type="cellIs" dxfId="276" priority="52" operator="equal">
      <formula>6</formula>
    </cfRule>
    <cfRule type="cellIs" dxfId="275" priority="53" operator="equal">
      <formula>5</formula>
    </cfRule>
    <cfRule type="cellIs" dxfId="274" priority="54" operator="equal">
      <formula>1</formula>
    </cfRule>
    <cfRule type="cellIs" dxfId="273" priority="56" operator="equal">
      <formula>3</formula>
    </cfRule>
    <cfRule type="cellIs" dxfId="272" priority="57" operator="equal">
      <formula>4</formula>
    </cfRule>
  </conditionalFormatting>
  <conditionalFormatting sqref="R20">
    <cfRule type="containsText" dxfId="271" priority="1" operator="containsText" text="Valutazione opportuna ma non urgente">
      <formula>NOT(ISERROR(SEARCH("Valutazione opportuna ma non urgente",R20)))</formula>
    </cfRule>
    <cfRule type="containsText" dxfId="270" priority="2" operator="containsText" text="Valutazione immediata - risoluzione dell’emergenza">
      <formula>NOT(ISERROR(SEARCH("Valutazione immediata - risoluzione dell’emergenza",R20)))</formula>
    </cfRule>
    <cfRule type="containsText" dxfId="269" priority="3" operator="containsText" text="Risoluzione dell’emergenza">
      <formula>NOT(ISERROR(SEARCH("Risoluzione dell’emergenza",R20)))</formula>
    </cfRule>
    <cfRule type="containsText" dxfId="268" priority="4" operator="containsText" text="Valutazione urgente">
      <formula>NOT(ISERROR(SEARCH("Valutazione urgente",R20)))</formula>
    </cfRule>
    <cfRule type="containsText" dxfId="267" priority="5" operator="containsText" text="Valutazione opportuna entro breve tempo">
      <formula>NOT(ISERROR(SEARCH("Valutazione opportuna entro breve tempo",R20)))</formula>
    </cfRule>
    <cfRule type="containsText" dxfId="266" priority="6" operator="containsText" text="Valutazione procrastinabile">
      <formula>NOT(ISERROR(SEARCH("Valutazione procrastinabile",R20)))</formula>
    </cfRule>
  </conditionalFormatting>
  <conditionalFormatting sqref="T18">
    <cfRule type="cellIs" dxfId="265" priority="92" operator="equal">
      <formula>6</formula>
    </cfRule>
    <cfRule type="cellIs" dxfId="264" priority="93" operator="equal">
      <formula>5</formula>
    </cfRule>
    <cfRule type="cellIs" dxfId="263" priority="97" operator="equal">
      <formula>2</formula>
    </cfRule>
    <cfRule type="cellIs" dxfId="262" priority="98" operator="equal">
      <formula>3</formula>
    </cfRule>
    <cfRule type="cellIs" dxfId="261" priority="99" operator="equal">
      <formula>1</formula>
    </cfRule>
    <cfRule type="cellIs" dxfId="260" priority="100" operator="equal">
      <formula>4</formula>
    </cfRule>
    <cfRule type="cellIs" dxfId="259" priority="101" operator="between">
      <formula>1</formula>
      <formula>3</formula>
    </cfRule>
    <cfRule type="cellIs" dxfId="258" priority="102" operator="equal">
      <formula>4</formula>
    </cfRule>
    <cfRule type="colorScale" priority="103">
      <colorScale>
        <cfvo type="num" val="1"/>
        <cfvo type="num" val="5"/>
        <cfvo type="num" val="10"/>
        <color rgb="FF00B050"/>
        <color rgb="FFFFFF00"/>
        <color rgb="FFFF0000"/>
      </colorScale>
    </cfRule>
    <cfRule type="colorScale" priority="104">
      <colorScale>
        <cfvo type="num" val="0"/>
        <cfvo type="num" val="5"/>
        <cfvo type="num" val="10"/>
        <color rgb="FFFF0000"/>
        <color rgb="FFFFFF00"/>
        <color rgb="FF00B050"/>
      </colorScale>
    </cfRule>
  </conditionalFormatting>
  <conditionalFormatting sqref="AA26:AA31">
    <cfRule type="cellIs" dxfId="257" priority="1385" operator="equal">
      <formula>#REF!</formula>
    </cfRule>
  </conditionalFormatting>
  <dataValidations count="3">
    <dataValidation operator="lessThan" allowBlank="1" showInputMessage="1" showErrorMessage="1" sqref="E20:E23" xr:uid="{DC8337E0-338F-434C-91F1-F042059B4213}"/>
    <dataValidation type="list" allowBlank="1" showInputMessage="1" showErrorMessage="1" sqref="M18:Q18" xr:uid="{EF18C5FC-6262-4F43-88A6-0BFBC0AA388C}">
      <formula1>$BD$20:$BD$26</formula1>
    </dataValidation>
    <dataValidation type="list" allowBlank="1" showInputMessage="1" showErrorMessage="1" sqref="C18:H18" xr:uid="{E49C7C30-1F05-4B04-8B9D-C52AF0F160D5}">
      <formula1>$BD$7:$BD$13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80" orientation="portrait" r:id="rId1"/>
  <ignoredErrors>
    <ignoredError sqref="S6" evalError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3E4C2671-741C-4546-B5B2-F9BF623B4522}">
          <x14:formula1>
            <xm:f>A!$B$17:$B$23</xm:f>
          </x14:formula1>
          <xm:sqref>E11:G14</xm:sqref>
        </x14:dataValidation>
        <x14:dataValidation type="list" allowBlank="1" showInputMessage="1" showErrorMessage="1" xr:uid="{CDEB4E7C-A3BA-4DF3-91CE-255AB392CEAA}">
          <x14:formula1>
            <xm:f>A!$V$30:$V$38</xm:f>
          </x14:formula1>
          <xm:sqref>C7:D7</xm:sqref>
        </x14:dataValidation>
        <x14:dataValidation type="list" allowBlank="1" showInputMessage="1" showErrorMessage="1" xr:uid="{4BD2FEDD-FA5E-4CA8-9613-5154EA43F81B}">
          <x14:formula1>
            <xm:f>A!$AE$4:$AE$9</xm:f>
          </x14:formula1>
          <xm:sqref>S7:U7</xm:sqref>
        </x14:dataValidation>
        <x14:dataValidation type="list" allowBlank="1" showInputMessage="1" showErrorMessage="1" xr:uid="{20CA0D0E-5ED0-4D98-A956-A9511262DB42}">
          <x14:formula1>
            <xm:f>A!$AI$4:$AI$110</xm:f>
          </x14:formula1>
          <xm:sqref>C8</xm:sqref>
        </x14:dataValidation>
        <x14:dataValidation type="list" allowBlank="1" showInputMessage="1" showErrorMessage="1" xr:uid="{869283A1-8CD2-4F5F-8205-D0FD94F6CDE2}">
          <x14:formula1>
            <xm:f>A!$AB$4:$AB$11</xm:f>
          </x14:formula1>
          <xm:sqref>G7:H7</xm:sqref>
        </x14:dataValidation>
        <x14:dataValidation type="list" allowBlank="1" showInputMessage="1" showErrorMessage="1" xr:uid="{82BFD6BA-3437-4268-B757-32B36EF3C9A8}">
          <x14:formula1>
            <xm:f>A!$S$20:$S$31</xm:f>
          </x14:formula1>
          <xm:sqref>N7:Q7</xm:sqref>
        </x14:dataValidation>
        <x14:dataValidation type="list" allowBlank="1" showInputMessage="1" showErrorMessage="1" xr:uid="{0A961049-8BF8-447B-98C0-F67A578402D4}">
          <x14:formula1>
            <xm:f>A!$BG$4:$BG$11</xm:f>
          </x14:formula1>
          <xm:sqref>C17 N17</xm:sqref>
        </x14:dataValidation>
        <x14:dataValidation type="list" allowBlank="1" showInputMessage="1" xr:uid="{0B84C47C-9DC1-4E60-ACC9-7D87454A56C1}">
          <x14:formula1>
            <xm:f>A!$E$4:$E$15</xm:f>
          </x14:formula1>
          <xm:sqref>T27:U28</xm:sqref>
        </x14:dataValidation>
        <x14:dataValidation type="list" allowBlank="1" showInputMessage="1" xr:uid="{048A8ABF-C740-436A-AA5D-77DD67F675DF}">
          <x14:formula1>
            <xm:f>A!$G$19:$G$32</xm:f>
          </x14:formula1>
          <xm:sqref>L27:N28</xm:sqref>
        </x14:dataValidation>
        <x14:dataValidation type="list" allowBlank="1" showInputMessage="1" xr:uid="{055F5371-024D-4DCE-89B7-CD5F17351232}">
          <x14:formula1>
            <xm:f>A!$E$38:$E$45</xm:f>
          </x14:formula1>
          <xm:sqref>Q27:S28</xm:sqref>
        </x14:dataValidation>
        <x14:dataValidation type="list" allowBlank="1" showInputMessage="1" showErrorMessage="1" xr:uid="{00317C90-39FE-4E19-AB23-1ED102DB8F62}">
          <x14:formula1>
            <xm:f>A!$G$4:$G$15</xm:f>
          </x14:formula1>
          <xm:sqref>J27:K28 O27:P28</xm:sqref>
        </x14:dataValidation>
        <x14:dataValidation type="list" allowBlank="1" showInputMessage="1" xr:uid="{D5086529-67B2-46D3-8775-86E8B9BF2BE2}">
          <x14:formula1>
            <xm:f>A!$C$77:$C$114</xm:f>
          </x14:formula1>
          <xm:sqref>B27:I28</xm:sqref>
        </x14:dataValidation>
        <x14:dataValidation type="list" allowBlank="1" showInputMessage="1" showErrorMessage="1" xr:uid="{812F9326-C906-4B09-9AE4-43EEDF66148C}">
          <x14:formula1>
            <xm:f>A!$Y$4:$Y$12</xm:f>
          </x14:formula1>
          <xm:sqref>J7:L7</xm:sqref>
        </x14:dataValidation>
        <x14:dataValidation type="list" allowBlank="1" showInputMessage="1" showErrorMessage="1" xr:uid="{0A398087-0310-416E-BAD2-5A9638BA68BF}">
          <x14:formula1>
            <xm:f>A!$I$4:$I$26</xm:f>
          </x14:formula1>
          <xm:sqref>L8:Q8 S8</xm:sqref>
        </x14:dataValidation>
        <x14:dataValidation type="list" allowBlank="1" showInputMessage="1" showErrorMessage="1" xr:uid="{697B5409-4E97-45E3-B385-13A4F0EDBA19}">
          <x14:formula1>
            <xm:f>A!$K$5:$K$167</xm:f>
          </x14:formula1>
          <xm:sqref>I6</xm:sqref>
        </x14:dataValidation>
        <x14:dataValidation type="list" allowBlank="1" showInputMessage="1" showErrorMessage="1" xr:uid="{39E57692-0A7A-4DBF-9093-44DC2AAA96CD}">
          <x14:formula1>
            <xm:f>A!$K$4:$K$250</xm:f>
          </x14:formula1>
          <xm:sqref>J6:Q6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D4379-D11D-414E-ABDA-5F5E7267756C}">
  <sheetPr codeName="Foglio7">
    <tabColor rgb="FF92D050"/>
    <pageSetUpPr fitToPage="1"/>
  </sheetPr>
  <dimension ref="A1:BK117"/>
  <sheetViews>
    <sheetView showGridLines="0" zoomScaleNormal="100" workbookViewId="0">
      <selection activeCell="U6" sqref="U6"/>
    </sheetView>
  </sheetViews>
  <sheetFormatPr defaultColWidth="9" defaultRowHeight="15.6" x14ac:dyDescent="0.3"/>
  <cols>
    <col min="1" max="1" width="1.69921875" style="3" customWidth="1"/>
    <col min="2" max="3" width="6.69921875" style="3" customWidth="1"/>
    <col min="4" max="4" width="8" style="3" customWidth="1"/>
    <col min="5" max="6" width="3.69921875" style="3" customWidth="1"/>
    <col min="7" max="8" width="6.69921875" style="3" customWidth="1"/>
    <col min="9" max="9" width="8" style="3" customWidth="1"/>
    <col min="10" max="11" width="3.69921875" style="3" customWidth="1"/>
    <col min="12" max="13" width="6.69921875" style="3" customWidth="1"/>
    <col min="14" max="14" width="8" style="3" customWidth="1"/>
    <col min="15" max="16" width="3.69921875" style="3" customWidth="1"/>
    <col min="17" max="17" width="6.69921875" style="3" customWidth="1"/>
    <col min="18" max="18" width="7.69921875" style="3" customWidth="1"/>
    <col min="19" max="19" width="8" style="3" customWidth="1"/>
    <col min="20" max="21" width="3.69921875" style="3" customWidth="1"/>
    <col min="22" max="22" width="1.69921875" style="3" customWidth="1"/>
    <col min="23" max="25" width="6" style="3" hidden="1" customWidth="1"/>
    <col min="26" max="26" width="10.19921875" style="3" hidden="1" customWidth="1"/>
    <col min="27" max="27" width="24.19921875" style="3" hidden="1" customWidth="1"/>
    <col min="28" max="28" width="9" style="3" hidden="1" customWidth="1"/>
    <col min="29" max="29" width="7.69921875" style="3" hidden="1" customWidth="1"/>
    <col min="30" max="30" width="26.69921875" style="3" hidden="1" customWidth="1"/>
    <col min="31" max="31" width="13" style="3" hidden="1" customWidth="1"/>
    <col min="32" max="32" width="9" style="3" hidden="1" customWidth="1"/>
    <col min="33" max="33" width="12.5" style="3" hidden="1" customWidth="1"/>
    <col min="34" max="34" width="11.19921875" style="3" hidden="1" customWidth="1"/>
    <col min="35" max="35" width="9" style="3" hidden="1" customWidth="1"/>
    <col min="36" max="36" width="9.19921875" style="3" hidden="1" customWidth="1"/>
    <col min="37" max="37" width="10.19921875" style="3" hidden="1" customWidth="1"/>
    <col min="38" max="39" width="9" style="3" hidden="1" customWidth="1"/>
    <col min="40" max="40" width="26.69921875" style="3" hidden="1" customWidth="1"/>
    <col min="41" max="41" width="11.69921875" style="3" hidden="1" customWidth="1"/>
    <col min="42" max="49" width="9" style="3" hidden="1" customWidth="1"/>
    <col min="50" max="50" width="10.69921875" style="3" hidden="1" customWidth="1"/>
    <col min="51" max="55" width="9" style="3" hidden="1" customWidth="1"/>
    <col min="56" max="56" width="29.69921875" style="3" hidden="1" customWidth="1"/>
    <col min="57" max="57" width="9" style="3" hidden="1" customWidth="1"/>
    <col min="58" max="58" width="7.69921875" style="3" hidden="1" customWidth="1"/>
    <col min="59" max="59" width="5.69921875" style="3" hidden="1" customWidth="1"/>
    <col min="60" max="60" width="6" style="3" hidden="1" customWidth="1"/>
    <col min="61" max="61" width="7.69921875" style="3" bestFit="1" customWidth="1"/>
    <col min="62" max="16384" width="9" style="3"/>
  </cols>
  <sheetData>
    <row r="1" spans="1:63" ht="13.5" customHeight="1" thickBot="1" x14ac:dyDescent="0.35"/>
    <row r="2" spans="1:63" ht="16.5" customHeight="1" thickBot="1" x14ac:dyDescent="0.35">
      <c r="B2" s="280"/>
      <c r="C2" s="281"/>
      <c r="D2" s="503" t="s">
        <v>1700</v>
      </c>
      <c r="E2" s="606"/>
      <c r="F2" s="606"/>
      <c r="G2" s="606"/>
      <c r="H2" s="606"/>
      <c r="I2" s="606"/>
      <c r="J2" s="606"/>
      <c r="K2" s="606"/>
      <c r="L2" s="606"/>
      <c r="M2" s="606"/>
      <c r="N2" s="607"/>
      <c r="O2" s="9"/>
      <c r="P2" s="10"/>
      <c r="Q2" s="10"/>
      <c r="R2" s="11"/>
      <c r="S2" s="12"/>
      <c r="T2" s="10"/>
      <c r="U2" s="13"/>
      <c r="AA2" s="18" t="s">
        <v>484</v>
      </c>
      <c r="AB2" s="19" t="e">
        <f>VLOOKUP($C$7,A!$V$4:$W$27,2,FALSE)</f>
        <v>#N/A</v>
      </c>
      <c r="AC2" s="20"/>
      <c r="AD2" s="491" t="s">
        <v>1053</v>
      </c>
      <c r="AE2" s="492"/>
      <c r="AG2" s="34" t="s">
        <v>1636</v>
      </c>
      <c r="AH2" s="35"/>
      <c r="AI2" s="36"/>
      <c r="AJ2" s="36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8"/>
      <c r="AX2" s="38"/>
      <c r="AY2" s="38"/>
      <c r="AZ2" s="38"/>
      <c r="BA2" s="38"/>
      <c r="BB2" s="38"/>
      <c r="BC2" s="38"/>
      <c r="BD2" s="38"/>
      <c r="BE2" s="38"/>
      <c r="BF2" s="39"/>
    </row>
    <row r="3" spans="1:63" ht="16.2" thickBot="1" x14ac:dyDescent="0.35">
      <c r="B3" s="282"/>
      <c r="C3" s="283"/>
      <c r="D3" s="608"/>
      <c r="E3" s="609"/>
      <c r="F3" s="609"/>
      <c r="G3" s="609"/>
      <c r="H3" s="609"/>
      <c r="I3" s="609"/>
      <c r="J3" s="609"/>
      <c r="K3" s="609"/>
      <c r="L3" s="609"/>
      <c r="M3" s="609"/>
      <c r="N3" s="610"/>
      <c r="O3" s="24"/>
      <c r="P3" s="489" t="s">
        <v>1703</v>
      </c>
      <c r="Q3" s="25"/>
      <c r="R3" s="25"/>
      <c r="S3" s="26"/>
      <c r="T3" s="25"/>
      <c r="U3" s="27"/>
      <c r="AD3" s="29" t="s">
        <v>549</v>
      </c>
      <c r="AE3" s="30">
        <f>IF($H$9&lt;A!$BB$5,1/(1+EXP(-A!$AY$5*($H$9/A!$BA$5-A!$AZ$5))),1/(1+EXP(-A!$BC$5*($H$9/A!$BE$5-A!$BD$5))))</f>
        <v>1.1695102650555148E-3</v>
      </c>
      <c r="AG3" s="43"/>
      <c r="AH3" s="44"/>
      <c r="AI3" s="45"/>
      <c r="AJ3" s="45"/>
      <c r="AK3" s="45"/>
      <c r="AL3" s="45"/>
      <c r="AM3" s="45"/>
      <c r="AN3" s="46" t="s">
        <v>168</v>
      </c>
      <c r="AO3" s="46" t="s">
        <v>178</v>
      </c>
      <c r="AP3" s="45"/>
      <c r="AQ3" s="45"/>
      <c r="AR3" s="45"/>
      <c r="AS3" s="45"/>
      <c r="AT3" s="45"/>
      <c r="AU3" s="45"/>
      <c r="AV3" s="45"/>
      <c r="AW3" s="44"/>
      <c r="AX3" s="44"/>
      <c r="AY3" s="44"/>
      <c r="AZ3" s="44"/>
      <c r="BA3" s="44"/>
      <c r="BB3" s="44"/>
      <c r="BC3" s="44"/>
      <c r="BD3" s="47" t="s">
        <v>1631</v>
      </c>
      <c r="BE3" s="48"/>
      <c r="BF3" s="49"/>
    </row>
    <row r="4" spans="1:63" ht="16.2" thickBot="1" x14ac:dyDescent="0.35">
      <c r="B4" s="284"/>
      <c r="C4" s="488" t="s">
        <v>1702</v>
      </c>
      <c r="D4" s="611"/>
      <c r="E4" s="612"/>
      <c r="F4" s="612"/>
      <c r="G4" s="612"/>
      <c r="H4" s="612"/>
      <c r="I4" s="612"/>
      <c r="J4" s="612"/>
      <c r="K4" s="612"/>
      <c r="L4" s="612"/>
      <c r="M4" s="612"/>
      <c r="N4" s="613"/>
      <c r="O4" s="487"/>
      <c r="P4" s="25"/>
      <c r="Q4" s="25"/>
      <c r="S4" s="487"/>
      <c r="T4" s="512"/>
      <c r="U4" s="513"/>
      <c r="AA4" s="18" t="s">
        <v>547</v>
      </c>
      <c r="AB4" s="19" t="e">
        <f>VLOOKUP($N$7,A!$S$4:$T$10,2,FALSE)</f>
        <v>#N/A</v>
      </c>
      <c r="AD4" s="32" t="s">
        <v>168</v>
      </c>
      <c r="AE4" s="33">
        <f>1/(1+EXP(-A!$AY$6*($J$9/A!$BA$6-A!$AZ$6)))</f>
        <v>8.1625711531598897E-3</v>
      </c>
      <c r="AG4" s="43"/>
      <c r="AH4" s="44"/>
      <c r="AI4" s="45"/>
      <c r="AJ4" s="45"/>
      <c r="AK4" s="45"/>
      <c r="AL4" s="45"/>
      <c r="AM4" s="57" t="s">
        <v>1692</v>
      </c>
      <c r="AN4" s="58">
        <f>((J9+C9)/2)/1.111111</f>
        <v>0</v>
      </c>
      <c r="AO4" s="58">
        <f>$O$9/1.111111</f>
        <v>0</v>
      </c>
      <c r="AP4" s="45"/>
      <c r="AQ4" s="45"/>
      <c r="AR4" s="45"/>
      <c r="AS4" s="45"/>
      <c r="AT4" s="45"/>
      <c r="AU4" s="45"/>
      <c r="AV4" s="45"/>
      <c r="AW4" s="44"/>
      <c r="AX4" s="44"/>
      <c r="AY4" s="44"/>
      <c r="AZ4" s="44"/>
      <c r="BA4" s="44"/>
      <c r="BB4" s="44"/>
      <c r="BC4" s="44"/>
      <c r="BD4" s="59" t="s">
        <v>1629</v>
      </c>
      <c r="BE4" s="49"/>
      <c r="BF4" s="49"/>
      <c r="BI4" s="3" t="s">
        <v>1619</v>
      </c>
    </row>
    <row r="5" spans="1:63" ht="15" customHeight="1" thickBot="1" x14ac:dyDescent="0.35">
      <c r="B5" s="514" t="s">
        <v>1579</v>
      </c>
      <c r="C5" s="515"/>
      <c r="D5" s="515"/>
      <c r="E5" s="515"/>
      <c r="F5" s="515"/>
      <c r="G5" s="515"/>
      <c r="H5" s="515"/>
      <c r="I5" s="515"/>
      <c r="J5" s="515"/>
      <c r="K5" s="515"/>
      <c r="L5" s="515"/>
      <c r="M5" s="515"/>
      <c r="N5" s="515"/>
      <c r="O5" s="515"/>
      <c r="P5" s="515"/>
      <c r="Q5" s="515"/>
      <c r="R5" s="515"/>
      <c r="S5" s="515"/>
      <c r="T5" s="515"/>
      <c r="U5" s="516"/>
      <c r="AD5" s="32" t="s">
        <v>76</v>
      </c>
      <c r="AE5" s="33">
        <f>1/(1+EXP(-A!$AY$7*($C$9/A!$BA$7-A!$AZ$7)))</f>
        <v>4.5262222324053502E-4</v>
      </c>
      <c r="AG5" s="65"/>
      <c r="AH5" s="66"/>
      <c r="AI5" s="45"/>
      <c r="AJ5" s="45"/>
      <c r="AK5" s="45"/>
      <c r="AL5" s="45"/>
      <c r="AM5" s="45"/>
      <c r="AN5" s="45" t="s">
        <v>176</v>
      </c>
      <c r="AO5" s="45" t="s">
        <v>177</v>
      </c>
      <c r="AP5" s="45"/>
      <c r="AQ5" s="45"/>
      <c r="AR5" s="45"/>
      <c r="AS5" s="45"/>
      <c r="AT5" s="45"/>
      <c r="AU5" s="45"/>
      <c r="AV5" s="45"/>
      <c r="AW5" s="44"/>
      <c r="AX5" s="44"/>
      <c r="AY5" s="44"/>
      <c r="AZ5" s="44"/>
      <c r="BA5" s="44"/>
      <c r="BB5" s="44"/>
      <c r="BC5" s="44"/>
      <c r="BD5" s="67">
        <f>'TRG-S'!$C$19</f>
        <v>0</v>
      </c>
      <c r="BE5" s="49"/>
      <c r="BF5" s="49"/>
      <c r="BI5" s="40" t="s">
        <v>1601</v>
      </c>
    </row>
    <row r="6" spans="1:63" ht="15" customHeight="1" thickBot="1" x14ac:dyDescent="0.35">
      <c r="A6" s="50"/>
      <c r="B6" s="517" t="s">
        <v>473</v>
      </c>
      <c r="C6" s="518"/>
      <c r="D6" s="519"/>
      <c r="E6" s="519"/>
      <c r="F6" s="519"/>
      <c r="G6" s="52" t="s">
        <v>120</v>
      </c>
      <c r="H6" s="316"/>
      <c r="I6" s="53" t="s">
        <v>171</v>
      </c>
      <c r="J6" s="520"/>
      <c r="K6" s="520"/>
      <c r="L6" s="520"/>
      <c r="M6" s="520"/>
      <c r="N6" s="520"/>
      <c r="O6" s="520"/>
      <c r="P6" s="520"/>
      <c r="Q6" s="520"/>
      <c r="R6" s="54" t="s">
        <v>474</v>
      </c>
      <c r="S6" s="55" t="e">
        <f>VLOOKUP(J6,A!$K$5:$L$250,2,FALSE)&amp;" "&amp;U6</f>
        <v>#N/A</v>
      </c>
      <c r="T6" s="52" t="s">
        <v>461</v>
      </c>
      <c r="U6" s="729"/>
      <c r="AA6" s="18" t="s">
        <v>512</v>
      </c>
      <c r="AB6" s="19" t="e">
        <f>VLOOKUP($J$7,A!$Y$4:$Z$12,2,FALSE)</f>
        <v>#N/A</v>
      </c>
      <c r="AD6" s="32" t="s">
        <v>550</v>
      </c>
      <c r="AE6" s="33">
        <f>MAX($AE$3:$AE$5)+((1-MAX($AE$3:$AE$5))*((SUM($AE$3:$AE$5)-MAX($AE$3:$AE$5))/2))</f>
        <v>8.9670170113801302E-3</v>
      </c>
      <c r="AG6" s="70"/>
      <c r="AH6" s="66" t="s">
        <v>179</v>
      </c>
      <c r="AI6" s="45"/>
      <c r="AJ6" s="45"/>
      <c r="AK6" s="71"/>
      <c r="AL6" s="72"/>
      <c r="AM6" s="72" t="s">
        <v>9</v>
      </c>
      <c r="AN6" s="73" t="e">
        <f>3600/$AN$4</f>
        <v>#DIV/0!</v>
      </c>
      <c r="AO6" s="73" t="e">
        <f>3600/$AO$4</f>
        <v>#DIV/0!</v>
      </c>
      <c r="AP6" s="73"/>
      <c r="AQ6" s="45"/>
      <c r="AR6" s="45"/>
      <c r="AS6" s="44"/>
      <c r="AT6" s="44"/>
      <c r="AU6" s="45"/>
      <c r="AV6" s="44"/>
      <c r="AW6" s="44"/>
      <c r="AX6" s="44"/>
      <c r="AY6" s="44"/>
      <c r="AZ6" s="44"/>
      <c r="BA6" s="44"/>
      <c r="BB6" s="44"/>
      <c r="BC6" s="44"/>
      <c r="BD6" s="59" t="s">
        <v>1627</v>
      </c>
      <c r="BE6" s="74" t="s">
        <v>1628</v>
      </c>
      <c r="BF6" s="74"/>
      <c r="BI6" s="40"/>
    </row>
    <row r="7" spans="1:63" ht="15" customHeight="1" thickBot="1" x14ac:dyDescent="0.35">
      <c r="B7" s="285" t="s">
        <v>484</v>
      </c>
      <c r="C7" s="521"/>
      <c r="D7" s="521"/>
      <c r="E7" s="522" t="s">
        <v>705</v>
      </c>
      <c r="F7" s="522"/>
      <c r="G7" s="521"/>
      <c r="H7" s="521"/>
      <c r="I7" s="62" t="s">
        <v>542</v>
      </c>
      <c r="J7" s="521"/>
      <c r="K7" s="521"/>
      <c r="L7" s="521"/>
      <c r="M7" s="63" t="s">
        <v>548</v>
      </c>
      <c r="N7" s="523"/>
      <c r="O7" s="523"/>
      <c r="P7" s="523"/>
      <c r="Q7" s="523"/>
      <c r="R7" s="62" t="s">
        <v>540</v>
      </c>
      <c r="S7" s="501"/>
      <c r="T7" s="501"/>
      <c r="U7" s="502"/>
      <c r="AD7" s="32" t="s">
        <v>551</v>
      </c>
      <c r="AE7" s="64" t="e">
        <f>($AB$2+$AB$4+$AB$6+$AB$8+$AB$10)/100</f>
        <v>#N/A</v>
      </c>
      <c r="AG7" s="65">
        <v>1</v>
      </c>
      <c r="AH7" s="66" t="e">
        <f>"da "&amp;ROUND(AN7,0)&amp;" a "&amp;ROUND(AN6,0)&amp;"  pedoni/ora"</f>
        <v>#DIV/0!</v>
      </c>
      <c r="AI7" s="45"/>
      <c r="AJ7" s="45"/>
      <c r="AK7" s="45"/>
      <c r="AL7" s="45"/>
      <c r="AM7" s="72" t="s">
        <v>16</v>
      </c>
      <c r="AN7" s="73" t="e">
        <f>AN$6/5</f>
        <v>#DIV/0!</v>
      </c>
      <c r="AO7" s="73" t="e">
        <f>AO$6/5</f>
        <v>#DIV/0!</v>
      </c>
      <c r="AP7" s="82"/>
      <c r="AQ7" s="45"/>
      <c r="AR7" s="45"/>
      <c r="AS7" s="44"/>
      <c r="AT7" s="44"/>
      <c r="AU7" s="45"/>
      <c r="AV7" s="44"/>
      <c r="AW7" s="44"/>
      <c r="AX7" s="44"/>
      <c r="AY7" s="44"/>
      <c r="AZ7" s="44"/>
      <c r="BA7" s="44"/>
      <c r="BB7" s="44"/>
      <c r="BC7" s="44"/>
      <c r="BD7" s="83" t="str">
        <f>IF(BD5="proprietà",BD30,IF(BD5="occupazione",BD40,IF(BD5="pedoni/ciclisti",AH7,IF(BD5="traffico 30 Km/h",AH57,IF(BD5="traffico 50 km/h",AH49,IF(BD5="traffico 70 Km/h",AH41,IF(BD5="traffico 90 Km/h",AH33,IF(BD5="traffico 110 km/h",AH25, " "))))))))</f>
        <v xml:space="preserve"> </v>
      </c>
      <c r="BE7" s="49">
        <v>1</v>
      </c>
      <c r="BF7" s="49"/>
      <c r="BI7" s="60" t="s">
        <v>1640</v>
      </c>
    </row>
    <row r="8" spans="1:63" ht="15" customHeight="1" thickBot="1" x14ac:dyDescent="0.35">
      <c r="B8" s="51" t="s">
        <v>170</v>
      </c>
      <c r="C8" s="310"/>
      <c r="D8" s="524"/>
      <c r="E8" s="524"/>
      <c r="F8" s="524"/>
      <c r="G8" s="524"/>
      <c r="H8" s="524"/>
      <c r="I8" s="536" t="s">
        <v>1577</v>
      </c>
      <c r="J8" s="536"/>
      <c r="K8" s="536"/>
      <c r="L8" s="524"/>
      <c r="M8" s="524"/>
      <c r="N8" s="524"/>
      <c r="O8" s="524"/>
      <c r="P8" s="524"/>
      <c r="Q8" s="628" t="s">
        <v>1645</v>
      </c>
      <c r="R8" s="628"/>
      <c r="S8" s="614"/>
      <c r="T8" s="614"/>
      <c r="U8" s="615"/>
      <c r="AA8" s="18" t="s">
        <v>515</v>
      </c>
      <c r="AB8" s="19" t="e">
        <f>VLOOKUP($G$7,A!$AB$4:$AC$11,2,FALSE)</f>
        <v>#N/A</v>
      </c>
      <c r="AD8" s="32" t="s">
        <v>552</v>
      </c>
      <c r="AE8" s="33" t="e">
        <f>$AE$6+(1-$AE$6)*$AE$7</f>
        <v>#N/A</v>
      </c>
      <c r="AG8" s="65">
        <v>2</v>
      </c>
      <c r="AH8" s="66" t="e">
        <f>"da "&amp;ROUND(AN9,0)&amp;" a "&amp;ROUND(AN7,0)&amp;"  pedoni/ora"</f>
        <v>#DIV/0!</v>
      </c>
      <c r="AI8" s="45"/>
      <c r="AJ8" s="45"/>
      <c r="AK8" s="45"/>
      <c r="AL8" s="72"/>
      <c r="AM8" s="72" t="s">
        <v>10</v>
      </c>
      <c r="AN8" s="73" t="e">
        <f>AN6/10</f>
        <v>#DIV/0!</v>
      </c>
      <c r="AO8" s="73" t="e">
        <f>AO6/10</f>
        <v>#DIV/0!</v>
      </c>
      <c r="AP8" s="82"/>
      <c r="AQ8" s="45"/>
      <c r="AR8" s="45"/>
      <c r="AS8" s="44"/>
      <c r="AT8" s="44"/>
      <c r="AU8" s="45"/>
      <c r="AV8" s="44"/>
      <c r="AW8" s="44"/>
      <c r="AX8" s="44"/>
      <c r="AY8" s="44"/>
      <c r="AZ8" s="44"/>
      <c r="BA8" s="44"/>
      <c r="BB8" s="44"/>
      <c r="BC8" s="44"/>
      <c r="BD8" s="83" t="str">
        <f>IF(BD5="proprietà",BD31,IF(BD5="occupazione",BD41,IF(BD5="pedoni/ciclisti",AH8,IF(BD5="traffico 30 Km/h",AH58,IF(BD5="traffico 50 km/h",AH50,IF(BD5="traffico 70 Km/h",AH42,IF(BD5="traffico 90 Km/h",AH34,IF(BD5="traffico 110 km/h",AH26, " "))))))))</f>
        <v xml:space="preserve"> </v>
      </c>
      <c r="BE8" s="49">
        <v>2</v>
      </c>
      <c r="BF8" s="49"/>
      <c r="BI8" s="618" t="str">
        <f>IF($R$9&gt;$C$9,"CORREGGI ALTEZZA BRANCA","")</f>
        <v/>
      </c>
      <c r="BJ8" s="618"/>
      <c r="BK8" s="618"/>
    </row>
    <row r="9" spans="1:63" ht="15" customHeight="1" thickBot="1" x14ac:dyDescent="0.35">
      <c r="A9" s="75"/>
      <c r="B9" s="76" t="s">
        <v>2</v>
      </c>
      <c r="C9" s="270"/>
      <c r="D9" s="77" t="s">
        <v>555</v>
      </c>
      <c r="E9" s="619"/>
      <c r="F9" s="619"/>
      <c r="G9" s="78" t="s">
        <v>475</v>
      </c>
      <c r="H9" s="79">
        <f>E9*PI()</f>
        <v>0</v>
      </c>
      <c r="I9" s="77" t="s">
        <v>1596</v>
      </c>
      <c r="J9" s="620"/>
      <c r="K9" s="620"/>
      <c r="L9" s="77" t="s">
        <v>1184</v>
      </c>
      <c r="M9" s="271"/>
      <c r="N9" s="77" t="s">
        <v>1185</v>
      </c>
      <c r="O9" s="621"/>
      <c r="P9" s="621"/>
      <c r="Q9" s="77" t="s">
        <v>531</v>
      </c>
      <c r="R9" s="271"/>
      <c r="S9" s="77" t="s">
        <v>1186</v>
      </c>
      <c r="T9" s="621"/>
      <c r="U9" s="622"/>
      <c r="V9" s="68"/>
      <c r="AD9" s="32" t="s">
        <v>553</v>
      </c>
      <c r="AE9" s="81" t="e">
        <f>VLOOKUP($C$8,A!$AI$4:$AK$110,3,FALSE)</f>
        <v>#N/A</v>
      </c>
      <c r="AG9" s="65">
        <v>3</v>
      </c>
      <c r="AH9" s="66" t="e">
        <f>"da "&amp;ROUND(AN11,0)&amp;" pedoni/giorno a "&amp;ROUND(AN9,0)&amp;"  pedoni/ora"</f>
        <v>#DIV/0!</v>
      </c>
      <c r="AI9" s="45"/>
      <c r="AJ9" s="45"/>
      <c r="AK9" s="45"/>
      <c r="AL9" s="45"/>
      <c r="AM9" s="72" t="s">
        <v>17</v>
      </c>
      <c r="AN9" s="73" t="e">
        <f>AN$6/50</f>
        <v>#DIV/0!</v>
      </c>
      <c r="AO9" s="73" t="e">
        <f>AO$6/50</f>
        <v>#DIV/0!</v>
      </c>
      <c r="AP9" s="82"/>
      <c r="AQ9" s="45"/>
      <c r="AR9" s="45"/>
      <c r="AS9" s="44"/>
      <c r="AT9" s="44"/>
      <c r="AU9" s="45"/>
      <c r="AV9" s="44"/>
      <c r="AW9" s="44"/>
      <c r="AX9" s="44"/>
      <c r="AY9" s="44"/>
      <c r="AZ9" s="44"/>
      <c r="BA9" s="44"/>
      <c r="BB9" s="44"/>
      <c r="BC9" s="44"/>
      <c r="BD9" s="83" t="str">
        <f>IF(BD5="proprietà",BD32,IF(BD5="occupazione",BD42,IF(BD5="pedoni/ciclisti",AH9,IF(BD5="traffico 30 Km/h",AH59,IF(BD5="traffico 50 km/h",AH51,IF(BD5="traffico 70 Km/h",AH43,IF(BD5="traffico 90 Km/h",AH35,IF(BD5="traffico 110 km/h",AH27, " "))))))))</f>
        <v xml:space="preserve"> </v>
      </c>
      <c r="BE9" s="49">
        <v>3</v>
      </c>
      <c r="BF9" s="49"/>
      <c r="BI9" s="618"/>
      <c r="BJ9" s="618"/>
      <c r="BK9" s="618"/>
    </row>
    <row r="10" spans="1:63" ht="15" customHeight="1" thickBot="1" x14ac:dyDescent="0.35">
      <c r="B10" s="604" t="s">
        <v>1083</v>
      </c>
      <c r="C10" s="605"/>
      <c r="D10" s="84" t="e">
        <f>$G$10*A!BN19+$J$10*A!BN20+$M$10*A!BN21+$O$10*A!BN22</f>
        <v>#VALUE!</v>
      </c>
      <c r="E10" s="623" t="s">
        <v>1188</v>
      </c>
      <c r="F10" s="623"/>
      <c r="G10" s="288">
        <f>PI()/4*(E9/100)^2*C9*0.9*900</f>
        <v>0</v>
      </c>
      <c r="H10" s="623" t="s">
        <v>1189</v>
      </c>
      <c r="I10" s="623"/>
      <c r="J10" s="624" t="str">
        <f>IF(G10=0,"",IF(G11="Albero morto in piedi",0,($G$10/VLOOKUP($N$7,A!$BL$4:$BN$10,3,FALSE))*VLOOKUP($AB$12,A!$BP$4:$BY$24,HLOOKUP($J$7,A!$BQ$2:$BY$3,2,FALSE),FALSE)))</f>
        <v/>
      </c>
      <c r="K10" s="624"/>
      <c r="L10" s="289" t="s">
        <v>1190</v>
      </c>
      <c r="M10" s="288" t="str">
        <f>IF(G10=0,"",IF(G11="Albero morto in piedi",0,(($G$10/VLOOKUP($N$7,A!$BL$4:$BN$10,3,FALSE))*VLOOKUP($AB$12,A!$BP$4:$BY$24,HLOOKUP($J$7,A!$BQ$2:$BY$3,2,FALSE),FALSE))/44.01*31.999*0.9))</f>
        <v/>
      </c>
      <c r="N10" s="287" t="s">
        <v>1191</v>
      </c>
      <c r="O10" s="288" t="str">
        <f>IF(G10=0,"",IF(G11="Albero morto in piedi",0,(($G$10*0.2)/VLOOKUP($N$7,A!$BL$4:$BN$10,3,FALSE))*VLOOKUP($AB$12,A!$BP$4:$BY$24,HLOOKUP($J$7,A!$BQ$2:$BY$3,2,FALSE),FALSE)))</f>
        <v/>
      </c>
      <c r="P10" s="625" t="s">
        <v>1664</v>
      </c>
      <c r="Q10" s="625"/>
      <c r="R10" s="625"/>
      <c r="S10" s="626" t="e">
        <f>D10+AE12</f>
        <v>#VALUE!</v>
      </c>
      <c r="T10" s="626"/>
      <c r="U10" s="627"/>
      <c r="AA10" s="18" t="s">
        <v>538</v>
      </c>
      <c r="AB10" s="19" t="e">
        <f>VLOOKUP($S$7,A!$AE$4:$AF$9,2,FALSE)</f>
        <v>#N/A</v>
      </c>
      <c r="AD10" s="88" t="s">
        <v>554</v>
      </c>
      <c r="AE10" s="89" t="e">
        <f>VLOOKUP($S$8,A!$AE$12:$AF$16,2,FALSE)</f>
        <v>#N/A</v>
      </c>
      <c r="AG10" s="65">
        <v>4</v>
      </c>
      <c r="AH10" s="66" t="e">
        <f>"da "&amp;ROUND(AN13,1)&amp;" a "&amp;ROUND(AN11,1)&amp;"  pedoni/giorno"</f>
        <v>#DIV/0!</v>
      </c>
      <c r="AI10" s="45"/>
      <c r="AJ10" s="45"/>
      <c r="AK10" s="45"/>
      <c r="AL10" s="72"/>
      <c r="AM10" s="72" t="s">
        <v>11</v>
      </c>
      <c r="AN10" s="73" t="e">
        <f>AN8/10</f>
        <v>#DIV/0!</v>
      </c>
      <c r="AO10" s="73" t="e">
        <f>AO8/10</f>
        <v>#DIV/0!</v>
      </c>
      <c r="AP10" s="82"/>
      <c r="AQ10" s="45"/>
      <c r="AR10" s="45"/>
      <c r="AS10" s="44"/>
      <c r="AT10" s="44"/>
      <c r="AU10" s="45"/>
      <c r="AV10" s="44"/>
      <c r="AW10" s="44"/>
      <c r="AX10" s="44"/>
      <c r="AY10" s="44"/>
      <c r="AZ10" s="44"/>
      <c r="BA10" s="44"/>
      <c r="BB10" s="44"/>
      <c r="BC10" s="44"/>
      <c r="BD10" s="83" t="str">
        <f>IF(BD5="proprietà",BD33,IF(BD5="occupazione",BD43,IF(BD5="pedoni/ciclisti",AH10,IF(BD5="traffico 30 Km/h",AH60,IF(BD5="traffico 50 km/h",AH52,IF(BD5="traffico 70 Km/h",AH44,IF(BD5="traffico 90 Km/h",AH36,IF(BD5="traffico 110 km/h",AH28, " "))))))))</f>
        <v xml:space="preserve"> </v>
      </c>
      <c r="BE10" s="49">
        <v>4</v>
      </c>
      <c r="BF10" s="49"/>
      <c r="BI10" s="60"/>
    </row>
    <row r="11" spans="1:63" ht="27.75" customHeight="1" thickBot="1" x14ac:dyDescent="0.35">
      <c r="B11" s="631" t="s">
        <v>1602</v>
      </c>
      <c r="C11" s="632"/>
      <c r="D11" s="632"/>
      <c r="E11" s="633" t="e">
        <f>$AB$12</f>
        <v>#N/A</v>
      </c>
      <c r="F11" s="633"/>
      <c r="G11" s="616"/>
      <c r="H11" s="616"/>
      <c r="I11" s="616"/>
      <c r="J11" s="616"/>
      <c r="K11" s="616"/>
      <c r="L11" s="616"/>
      <c r="M11" s="616"/>
      <c r="N11" s="616"/>
      <c r="O11" s="616"/>
      <c r="P11" s="616"/>
      <c r="Q11" s="616"/>
      <c r="R11" s="616"/>
      <c r="S11" s="616"/>
      <c r="T11" s="616"/>
      <c r="U11" s="617"/>
      <c r="V11" s="114"/>
      <c r="AD11" s="92" t="s">
        <v>1032</v>
      </c>
      <c r="AE11" s="93" t="e">
        <f>IF($AE$8=0,0,IF($AE$8&lt;HLOOKUP($AE$10,A!$BA$8:$BE$10,3),$AE$9/(1+EXP(-HLOOKUP($AE$10,A!$BA$8:$BE$11,4)*($AE$8-HLOOKUP($AE$10,A!$BA$8:$BE$12,5)))),$AE$9/(1+EXP(-HLOOKUP($AE$10,A!$BA$8:$BE$9,2)*($AE$8-HLOOKUP($AE$10,A!$BA$8:$BE$10,3))))))</f>
        <v>#N/A</v>
      </c>
      <c r="AG11" s="65">
        <v>5</v>
      </c>
      <c r="AH11" s="66" t="e">
        <f>"da "&amp;ROUND(AN15,1)&amp;" pedoni/settimana a "&amp;ROUND(AN13,1)&amp;"  pedoni/giorno"</f>
        <v>#DIV/0!</v>
      </c>
      <c r="AI11" s="45"/>
      <c r="AJ11" s="45"/>
      <c r="AK11" s="45"/>
      <c r="AL11" s="45"/>
      <c r="AM11" s="72" t="s">
        <v>18</v>
      </c>
      <c r="AN11" s="73" t="e">
        <f>AN$6/500*24</f>
        <v>#DIV/0!</v>
      </c>
      <c r="AO11" s="73" t="e">
        <f>AO$6/500*24</f>
        <v>#DIV/0!</v>
      </c>
      <c r="AP11" s="101"/>
      <c r="AQ11" s="45"/>
      <c r="AR11" s="45"/>
      <c r="AS11" s="44"/>
      <c r="AT11" s="44"/>
      <c r="AU11" s="45"/>
      <c r="AV11" s="44"/>
      <c r="AW11" s="44"/>
      <c r="AX11" s="44"/>
      <c r="AY11" s="44"/>
      <c r="AZ11" s="44"/>
      <c r="BA11" s="44"/>
      <c r="BB11" s="44"/>
      <c r="BC11" s="44"/>
      <c r="BD11" s="83" t="str">
        <f>IF(BD5="proprietà",BD34,IF(BD5="occupazione",BD44,IF(BD5="pedoni/ciclisti",AH11,IF(BD5="traffico 30 Km/h",AH61,IF(BD5="traffico 50 km/h",AH53,IF(BD5="traffico 70 Km/h",AH45,IF(BD5="traffico 90 Km/h",AH37,IF(BD5="traffico 110 km/h",AH29, " "))))))))</f>
        <v xml:space="preserve"> </v>
      </c>
      <c r="BE11" s="49">
        <v>5</v>
      </c>
      <c r="BF11" s="49"/>
    </row>
    <row r="12" spans="1:63" ht="15" customHeight="1" thickBot="1" x14ac:dyDescent="0.35">
      <c r="B12" s="525" t="s">
        <v>1683</v>
      </c>
      <c r="C12" s="526"/>
      <c r="D12" s="526"/>
      <c r="E12" s="526"/>
      <c r="F12" s="526"/>
      <c r="G12" s="526"/>
      <c r="H12" s="526"/>
      <c r="I12" s="526"/>
      <c r="J12" s="526"/>
      <c r="K12" s="526"/>
      <c r="L12" s="526"/>
      <c r="M12" s="526"/>
      <c r="N12" s="526"/>
      <c r="O12" s="526"/>
      <c r="P12" s="526"/>
      <c r="Q12" s="526"/>
      <c r="R12" s="526"/>
      <c r="S12" s="526"/>
      <c r="T12" s="526"/>
      <c r="U12" s="527"/>
      <c r="V12" s="114"/>
      <c r="AA12" s="18" t="s">
        <v>1050</v>
      </c>
      <c r="AB12" s="19" t="e">
        <f>VLOOKUP($G$11,A!$AU$35:$AV$45,2,FALSE)</f>
        <v>#N/A</v>
      </c>
      <c r="AD12" s="92" t="s">
        <v>1033</v>
      </c>
      <c r="AE12" s="96" t="e">
        <f>$AE$11-$AE$11*($AB$12/100)</f>
        <v>#N/A</v>
      </c>
      <c r="AG12" s="65">
        <v>6</v>
      </c>
      <c r="AH12" s="66" t="e">
        <f>"da "&amp;ROUND(AN17,1)&amp;" pedoni/anno a "&amp;ROUND(AN15,1)&amp;"  pedoni/settimana"</f>
        <v>#DIV/0!</v>
      </c>
      <c r="AI12" s="45"/>
      <c r="AJ12" s="45"/>
      <c r="AK12" s="45"/>
      <c r="AL12" s="72"/>
      <c r="AM12" s="72" t="s">
        <v>12</v>
      </c>
      <c r="AN12" s="111" t="e">
        <f>AN10/10</f>
        <v>#DIV/0!</v>
      </c>
      <c r="AO12" s="111" t="e">
        <f>AO10/10</f>
        <v>#DIV/0!</v>
      </c>
      <c r="AP12" s="101"/>
      <c r="AQ12" s="45"/>
      <c r="AR12" s="45"/>
      <c r="AS12" s="44"/>
      <c r="AT12" s="44"/>
      <c r="AU12" s="45"/>
      <c r="AV12" s="44"/>
      <c r="AW12" s="44"/>
      <c r="AX12" s="44"/>
      <c r="AY12" s="44"/>
      <c r="AZ12" s="44"/>
      <c r="BA12" s="44"/>
      <c r="BB12" s="44"/>
      <c r="BC12" s="44"/>
      <c r="BD12" s="83" t="str">
        <f>IF(BD5="proprietà",BD35,IF(BD5="occupazione",BD45,IF(BD5="pedoni/ciclisti",AH12,IF(BD5="traffico 30 Km/h",AH62,IF(BD5="traffico 50 km/h",AH54,IF(BD5="traffico 70 Km/h",AH46,IF(BD5="traffico 90 Km/h",AH38,IF(BD5="traffico 110 km/h",AH30, " "))))))))</f>
        <v xml:space="preserve"> </v>
      </c>
      <c r="BE12" s="49">
        <v>6</v>
      </c>
      <c r="BF12" s="49"/>
    </row>
    <row r="13" spans="1:63" ht="15" customHeight="1" x14ac:dyDescent="0.3">
      <c r="B13" s="118" t="s">
        <v>1590</v>
      </c>
      <c r="C13" s="119"/>
      <c r="D13" s="119"/>
      <c r="E13" s="528"/>
      <c r="F13" s="528"/>
      <c r="G13" s="529"/>
      <c r="H13" s="530" t="str">
        <f>IF(E13="","",VLOOKUP(E13,A!$B$17:$C$23,2,FALSE))</f>
        <v/>
      </c>
      <c r="I13" s="530"/>
      <c r="J13" s="530"/>
      <c r="K13" s="530"/>
      <c r="L13" s="530"/>
      <c r="M13" s="530"/>
      <c r="N13" s="530"/>
      <c r="O13" s="530"/>
      <c r="P13" s="530"/>
      <c r="Q13" s="530"/>
      <c r="R13" s="530"/>
      <c r="S13" s="530"/>
      <c r="T13" s="120"/>
      <c r="U13" s="121"/>
      <c r="V13" s="114"/>
      <c r="AG13" s="65">
        <v>7</v>
      </c>
      <c r="AH13" s="66" t="e">
        <f>"da "&amp;ROUND(AN18,1)&amp;"  a "&amp;ROUND(AN17,1)&amp;"  pedoni/anno"</f>
        <v>#DIV/0!</v>
      </c>
      <c r="AI13" s="45"/>
      <c r="AJ13" s="45"/>
      <c r="AK13" s="45"/>
      <c r="AL13" s="45"/>
      <c r="AM13" s="72" t="s">
        <v>19</v>
      </c>
      <c r="AN13" s="73" t="e">
        <f>AN$6/5000*24</f>
        <v>#DIV/0!</v>
      </c>
      <c r="AO13" s="73" t="e">
        <f>AO$6/5000*24</f>
        <v>#DIV/0!</v>
      </c>
      <c r="AP13" s="101"/>
      <c r="AQ13" s="45"/>
      <c r="AR13" s="45"/>
      <c r="AS13" s="44"/>
      <c r="AT13" s="44"/>
      <c r="AU13" s="45"/>
      <c r="AV13" s="44"/>
      <c r="AW13" s="44"/>
      <c r="AX13" s="44"/>
      <c r="AY13" s="44"/>
      <c r="AZ13" s="44"/>
      <c r="BA13" s="44"/>
      <c r="BB13" s="44"/>
      <c r="BC13" s="44"/>
      <c r="BD13" s="103" t="str">
        <f>IF(BD5="proprietà",BD36,IF(BD5="occupazione",BD46,IF(BD5="pedoni/ciclisti",AH13,IF(BD5="traffico 30 Km/h",AH63,IF(BD5="traffico 50 km/h",AH55,IF(BD5="traffico 70 Km/h",AH47,IF(BD5="traffico 90 Km/h",AH39,IF(BD5="traffico 110 km/h",AH31, " "))))))))</f>
        <v xml:space="preserve"> </v>
      </c>
      <c r="BE13" s="104">
        <v>7</v>
      </c>
      <c r="BF13" s="49"/>
      <c r="BI13" s="60"/>
    </row>
    <row r="14" spans="1:63" ht="15" customHeight="1" x14ac:dyDescent="0.3">
      <c r="B14" s="123" t="s">
        <v>1591</v>
      </c>
      <c r="C14" s="124"/>
      <c r="D14" s="124"/>
      <c r="E14" s="537"/>
      <c r="F14" s="537"/>
      <c r="G14" s="538"/>
      <c r="H14" s="539" t="str">
        <f>IF(E14="","",VLOOKUP(E14,A!$B$17:$C$23,2,FALSE))</f>
        <v/>
      </c>
      <c r="I14" s="539"/>
      <c r="J14" s="539"/>
      <c r="K14" s="539"/>
      <c r="L14" s="539"/>
      <c r="M14" s="539"/>
      <c r="N14" s="539"/>
      <c r="O14" s="539"/>
      <c r="P14" s="539"/>
      <c r="Q14" s="539"/>
      <c r="R14" s="539"/>
      <c r="S14" s="539"/>
      <c r="T14" s="120"/>
      <c r="U14" s="121"/>
      <c r="V14" s="114"/>
      <c r="AA14" s="20"/>
      <c r="AB14" s="20"/>
      <c r="AC14" s="20"/>
      <c r="AG14" s="65"/>
      <c r="AH14" s="66"/>
      <c r="AI14" s="45"/>
      <c r="AJ14" s="45"/>
      <c r="AK14" s="45"/>
      <c r="AL14" s="72"/>
      <c r="AM14" s="72" t="s">
        <v>13</v>
      </c>
      <c r="AN14" s="111" t="e">
        <f>AN12/10</f>
        <v>#DIV/0!</v>
      </c>
      <c r="AO14" s="111" t="e">
        <f>AO12/10</f>
        <v>#DIV/0!</v>
      </c>
      <c r="AP14" s="101"/>
      <c r="AQ14" s="45"/>
      <c r="AR14" s="45"/>
      <c r="AS14" s="44"/>
      <c r="AT14" s="44"/>
      <c r="AU14" s="45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105"/>
      <c r="BI14" s="290"/>
    </row>
    <row r="15" spans="1:63" ht="15" customHeight="1" x14ac:dyDescent="0.3">
      <c r="B15" s="123" t="s">
        <v>1592</v>
      </c>
      <c r="C15" s="124"/>
      <c r="D15" s="124"/>
      <c r="E15" s="540"/>
      <c r="F15" s="540"/>
      <c r="G15" s="540"/>
      <c r="H15" s="541" t="str">
        <f>IF(E15="","",VLOOKUP(E15,A!$B$17:$C$23,2,FALSE))</f>
        <v/>
      </c>
      <c r="I15" s="541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120"/>
      <c r="U15" s="121"/>
      <c r="V15" s="114"/>
      <c r="AA15" s="102"/>
      <c r="AB15" s="102"/>
      <c r="AC15" s="102"/>
      <c r="AG15" s="70"/>
      <c r="AH15" s="66" t="s">
        <v>180</v>
      </c>
      <c r="AI15" s="45"/>
      <c r="AJ15" s="45"/>
      <c r="AK15" s="45"/>
      <c r="AL15" s="45"/>
      <c r="AM15" s="72" t="s">
        <v>20</v>
      </c>
      <c r="AN15" s="73" t="e">
        <f>AN$6/50000*24*7</f>
        <v>#DIV/0!</v>
      </c>
      <c r="AO15" s="73" t="e">
        <f>AO$6/50000*24*7</f>
        <v>#DIV/0!</v>
      </c>
      <c r="AP15" s="107"/>
      <c r="AQ15" s="45"/>
      <c r="AR15" s="45"/>
      <c r="AS15" s="44"/>
      <c r="AT15" s="44"/>
      <c r="AU15" s="45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105"/>
    </row>
    <row r="16" spans="1:63" ht="15" customHeight="1" thickBot="1" x14ac:dyDescent="0.35">
      <c r="B16" s="134" t="s">
        <v>1593</v>
      </c>
      <c r="C16" s="135"/>
      <c r="D16" s="135"/>
      <c r="E16" s="629"/>
      <c r="F16" s="629"/>
      <c r="G16" s="630"/>
      <c r="H16" s="544" t="str">
        <f>IF(E16="","",VLOOKUP(E16,A!$B$17:$C$23,2,FALSE))</f>
        <v/>
      </c>
      <c r="I16" s="544"/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136"/>
      <c r="U16" s="137"/>
      <c r="V16" s="114"/>
      <c r="AA16" s="102"/>
      <c r="AB16" s="102"/>
      <c r="AC16" s="102"/>
      <c r="AG16" s="65">
        <v>1</v>
      </c>
      <c r="AH16" s="66" t="e">
        <f>"da "&amp;ROUND(AO7,0)&amp;" a "&amp;ROUND(AO6,0)&amp;"  pedoni/ora"</f>
        <v>#DIV/0!</v>
      </c>
      <c r="AI16" s="45"/>
      <c r="AJ16" s="45"/>
      <c r="AK16" s="45"/>
      <c r="AL16" s="72"/>
      <c r="AM16" s="72" t="s">
        <v>14</v>
      </c>
      <c r="AN16" s="111" t="e">
        <f>AN14/10</f>
        <v>#DIV/0!</v>
      </c>
      <c r="AO16" s="111" t="e">
        <f>AO14/10</f>
        <v>#DIV/0!</v>
      </c>
      <c r="AP16" s="107"/>
      <c r="AQ16" s="45"/>
      <c r="AR16" s="45"/>
      <c r="AS16" s="44"/>
      <c r="AT16" s="44"/>
      <c r="AU16" s="45"/>
      <c r="AV16" s="44"/>
      <c r="AW16" s="44"/>
      <c r="AX16" s="44"/>
      <c r="AY16" s="44"/>
      <c r="AZ16" s="44"/>
      <c r="BA16" s="44"/>
      <c r="BB16" s="44"/>
      <c r="BC16" s="44"/>
      <c r="BD16" s="47" t="s">
        <v>1630</v>
      </c>
      <c r="BE16" s="48"/>
      <c r="BF16" s="49"/>
      <c r="BI16" s="60"/>
    </row>
    <row r="17" spans="2:61" ht="15" customHeight="1" x14ac:dyDescent="0.3">
      <c r="B17" s="548" t="s">
        <v>1589</v>
      </c>
      <c r="C17" s="549"/>
      <c r="D17" s="549"/>
      <c r="E17" s="549"/>
      <c r="F17" s="549"/>
      <c r="G17" s="549"/>
      <c r="H17" s="549"/>
      <c r="I17" s="549"/>
      <c r="J17" s="549"/>
      <c r="K17" s="549"/>
      <c r="L17" s="549"/>
      <c r="M17" s="549"/>
      <c r="N17" s="549"/>
      <c r="O17" s="549"/>
      <c r="P17" s="549"/>
      <c r="Q17" s="549"/>
      <c r="R17" s="549"/>
      <c r="S17" s="549"/>
      <c r="T17" s="549"/>
      <c r="U17" s="550"/>
      <c r="V17" s="114"/>
      <c r="AA17" s="102"/>
      <c r="AB17" s="102"/>
      <c r="AC17" s="102"/>
      <c r="AG17" s="65">
        <v>2</v>
      </c>
      <c r="AH17" s="66" t="e">
        <f>"da "&amp;ROUND(AO9,0)&amp;" a "&amp;ROUND(AO7,0)&amp;"  pedoni/ora"</f>
        <v>#DIV/0!</v>
      </c>
      <c r="AI17" s="45"/>
      <c r="AJ17" s="45"/>
      <c r="AK17" s="45"/>
      <c r="AL17" s="45"/>
      <c r="AM17" s="72" t="s">
        <v>21</v>
      </c>
      <c r="AN17" s="73" t="e">
        <f>AN$6/500000*24*365</f>
        <v>#DIV/0!</v>
      </c>
      <c r="AO17" s="73" t="e">
        <f>AO$6/500000*24*365</f>
        <v>#DIV/0!</v>
      </c>
      <c r="AP17" s="107"/>
      <c r="AQ17" s="45"/>
      <c r="AR17" s="45"/>
      <c r="AS17" s="45"/>
      <c r="AT17" s="45"/>
      <c r="AU17" s="45"/>
      <c r="AV17" s="45"/>
      <c r="AW17" s="44"/>
      <c r="AX17" s="44"/>
      <c r="AY17" s="44"/>
      <c r="AZ17" s="44"/>
      <c r="BA17" s="44"/>
      <c r="BB17" s="44"/>
      <c r="BC17" s="44"/>
      <c r="BD17" s="59" t="s">
        <v>1629</v>
      </c>
      <c r="BE17" s="49"/>
      <c r="BF17" s="49"/>
      <c r="BI17" s="106"/>
    </row>
    <row r="18" spans="2:61" ht="15" customHeight="1" x14ac:dyDescent="0.3">
      <c r="B18" s="140"/>
      <c r="C18" s="551" t="s">
        <v>1241</v>
      </c>
      <c r="D18" s="551"/>
      <c r="E18" s="551"/>
      <c r="F18" s="551"/>
      <c r="G18" s="551"/>
      <c r="H18" s="551"/>
      <c r="I18" s="141" t="s">
        <v>1183</v>
      </c>
      <c r="J18" s="552" t="s">
        <v>1240</v>
      </c>
      <c r="K18" s="553"/>
      <c r="L18" s="554"/>
      <c r="M18" s="142"/>
      <c r="N18" s="551" t="s">
        <v>1595</v>
      </c>
      <c r="O18" s="551"/>
      <c r="P18" s="551"/>
      <c r="Q18" s="551"/>
      <c r="R18" s="141" t="s">
        <v>1183</v>
      </c>
      <c r="S18" s="552" t="s">
        <v>1240</v>
      </c>
      <c r="T18" s="553"/>
      <c r="U18" s="555"/>
      <c r="V18" s="114"/>
      <c r="AA18" s="102"/>
      <c r="AB18" s="102"/>
      <c r="AC18" s="102"/>
      <c r="AG18" s="65">
        <v>3</v>
      </c>
      <c r="AH18" s="66" t="e">
        <f>"da "&amp;ROUND(AO11,0)&amp;" pedoni/giorno a "&amp;ROUND(AO9,0)&amp;"  pedoni/ora"</f>
        <v>#DIV/0!</v>
      </c>
      <c r="AI18" s="45"/>
      <c r="AJ18" s="45"/>
      <c r="AK18" s="45"/>
      <c r="AL18" s="72"/>
      <c r="AM18" s="72" t="s">
        <v>15</v>
      </c>
      <c r="AN18" s="73" t="e">
        <f>AN16/10*24*365</f>
        <v>#DIV/0!</v>
      </c>
      <c r="AO18" s="73" t="e">
        <f>AO16/10*24*365</f>
        <v>#DIV/0!</v>
      </c>
      <c r="AP18" s="107"/>
      <c r="AQ18" s="45"/>
      <c r="AR18" s="45"/>
      <c r="AS18" s="45"/>
      <c r="AT18" s="45"/>
      <c r="AU18" s="45"/>
      <c r="AV18" s="45"/>
      <c r="AW18" s="44"/>
      <c r="AX18" s="44"/>
      <c r="AY18" s="44"/>
      <c r="AZ18" s="44"/>
      <c r="BA18" s="44"/>
      <c r="BB18" s="44"/>
      <c r="BC18" s="44"/>
      <c r="BD18" s="67">
        <f>'TRG-S'!$N$19</f>
        <v>0</v>
      </c>
      <c r="BE18" s="49"/>
      <c r="BF18" s="49"/>
      <c r="BI18" s="60"/>
    </row>
    <row r="19" spans="2:61" ht="15" customHeight="1" x14ac:dyDescent="0.3">
      <c r="B19" s="147"/>
      <c r="C19" s="556"/>
      <c r="D19" s="556"/>
      <c r="E19" s="556"/>
      <c r="F19" s="556"/>
      <c r="G19" s="556"/>
      <c r="H19" s="556"/>
      <c r="I19" s="557" t="e">
        <f>VLOOKUP(C20,BD7:BE13,2,FALSE)</f>
        <v>#N/A</v>
      </c>
      <c r="J19" s="559" t="s">
        <v>466</v>
      </c>
      <c r="K19" s="560"/>
      <c r="L19" s="149" t="s">
        <v>1183</v>
      </c>
      <c r="M19" s="150"/>
      <c r="N19" s="556"/>
      <c r="O19" s="556"/>
      <c r="P19" s="556"/>
      <c r="Q19" s="556"/>
      <c r="R19" s="557" t="e">
        <f>VLOOKUP(M20,BD20:BE26,2,FALSE)</f>
        <v>#N/A</v>
      </c>
      <c r="S19" s="148" t="s">
        <v>466</v>
      </c>
      <c r="T19" s="560" t="s">
        <v>1183</v>
      </c>
      <c r="U19" s="561"/>
      <c r="V19" s="114"/>
      <c r="AA19" s="102"/>
      <c r="AB19" s="102"/>
      <c r="AC19" s="102"/>
      <c r="AG19" s="65">
        <v>4</v>
      </c>
      <c r="AH19" s="66" t="e">
        <f>"da "&amp;ROUND(AO13,1)&amp;" a "&amp;ROUND(AO11,1)&amp;"  pedoni/giorno"</f>
        <v>#DIV/0!</v>
      </c>
      <c r="AI19" s="45"/>
      <c r="AJ19" s="45"/>
      <c r="AK19" s="45"/>
      <c r="AL19" s="45"/>
      <c r="AM19" s="44"/>
      <c r="AN19" s="44"/>
      <c r="AO19" s="44"/>
      <c r="AP19" s="45"/>
      <c r="AQ19" s="45"/>
      <c r="AR19" s="45"/>
      <c r="AS19" s="45"/>
      <c r="AT19" s="45"/>
      <c r="AU19" s="45"/>
      <c r="AV19" s="45"/>
      <c r="AW19" s="44"/>
      <c r="AX19" s="44"/>
      <c r="AY19" s="44"/>
      <c r="AZ19" s="44"/>
      <c r="BA19" s="44"/>
      <c r="BB19" s="44"/>
      <c r="BC19" s="44"/>
      <c r="BD19" s="59" t="s">
        <v>1627</v>
      </c>
      <c r="BE19" s="74" t="s">
        <v>1628</v>
      </c>
      <c r="BF19" s="74"/>
    </row>
    <row r="20" spans="2:61" ht="15" customHeight="1" thickBot="1" x14ac:dyDescent="0.35">
      <c r="B20" s="291"/>
      <c r="C20" s="562"/>
      <c r="D20" s="562"/>
      <c r="E20" s="562"/>
      <c r="F20" s="562"/>
      <c r="G20" s="562"/>
      <c r="H20" s="562"/>
      <c r="I20" s="558"/>
      <c r="J20" s="563" t="str">
        <f>IF(OR($T$9="",$J$9=""),"err",((PI()/4*(($H$9/100)/PI())^2*$C$9*0.75*900)*(SQRT(3*9.8*($C$9-$T$9)))))</f>
        <v>err</v>
      </c>
      <c r="K20" s="564"/>
      <c r="L20" s="153" t="str">
        <f>IF(J20="err","",IF(J20&lt;5,7,IF(J20&lt;10,6,IF(J20&lt;50,5,IF(J20&lt;100,4,IF(J20&lt;1000,3,IF(J20&lt;10000,2,1)))))))</f>
        <v/>
      </c>
      <c r="M20" s="565"/>
      <c r="N20" s="562"/>
      <c r="O20" s="562"/>
      <c r="P20" s="562"/>
      <c r="Q20" s="562"/>
      <c r="R20" s="558"/>
      <c r="S20" s="154" t="str">
        <f>IF(OR($E$13="",$M$9="",$O$9="",$R$9=""),"err",((PI()/4*($M$9/100)^2*$O$9*0.75*900)*(SQRT(2*9.8*($R$9-$T$9)))))</f>
        <v>err</v>
      </c>
      <c r="T20" s="558" t="str">
        <f>IF(S20="err","",IF(S20="N.S.","-",IF(S20&lt;5,7,IF(S20&lt;10,6,IF(S20&lt;50,5,IF(S20&lt;100,4,IF(S20&lt;1000,3,IF(S20&lt;10000,2,1))))))))</f>
        <v/>
      </c>
      <c r="U20" s="566"/>
      <c r="V20" s="114"/>
      <c r="AA20" s="102"/>
      <c r="AG20" s="65">
        <v>5</v>
      </c>
      <c r="AH20" s="66" t="e">
        <f>"da "&amp;ROUND(AO15,1)&amp;" pedoni/settimana a "&amp;ROUND(AO13,1)&amp;"  pedoni/giorno"</f>
        <v>#DIV/0!</v>
      </c>
      <c r="AI20" s="45"/>
      <c r="AJ20" s="45"/>
      <c r="AK20" s="45"/>
      <c r="AL20" s="45"/>
      <c r="AM20" s="45"/>
      <c r="AN20" s="111"/>
      <c r="AO20" s="111"/>
      <c r="AP20" s="45"/>
      <c r="AQ20" s="45"/>
      <c r="AR20" s="45"/>
      <c r="AS20" s="45"/>
      <c r="AT20" s="45"/>
      <c r="AU20" s="45"/>
      <c r="AV20" s="45"/>
      <c r="AW20" s="44"/>
      <c r="AX20" s="44"/>
      <c r="AY20" s="44"/>
      <c r="AZ20" s="44"/>
      <c r="BA20" s="44"/>
      <c r="BB20" s="44"/>
      <c r="BC20" s="44"/>
      <c r="BD20" s="83" t="str">
        <f>IF(BD18="proprietà",BD30,IF(BD18="occupazione",BD40,IF(BD18="pedoni/ciclisti",AH16,IF(BD18="traffico 30 Km/h",AL57,IF(BD18="traffico 50 km/h",AL49,IF(BD18="traffico 70 Km/h",AL41,IF(BD18="traffico 90 Km/h",AL33,IF(BD18="traffico 110 km/h",AL25, " "))))))))</f>
        <v xml:space="preserve"> </v>
      </c>
      <c r="BE20" s="49">
        <v>1</v>
      </c>
      <c r="BF20" s="49"/>
    </row>
    <row r="21" spans="2:61" ht="15" customHeight="1" thickBot="1" x14ac:dyDescent="0.35">
      <c r="B21" s="545" t="s">
        <v>1578</v>
      </c>
      <c r="C21" s="546"/>
      <c r="D21" s="546"/>
      <c r="E21" s="546"/>
      <c r="F21" s="546"/>
      <c r="G21" s="546"/>
      <c r="H21" s="546"/>
      <c r="I21" s="546"/>
      <c r="J21" s="546"/>
      <c r="K21" s="546"/>
      <c r="L21" s="546"/>
      <c r="M21" s="546"/>
      <c r="N21" s="546"/>
      <c r="O21" s="546"/>
      <c r="P21" s="546"/>
      <c r="Q21" s="546"/>
      <c r="R21" s="546"/>
      <c r="S21" s="546"/>
      <c r="T21" s="546"/>
      <c r="U21" s="547"/>
      <c r="V21" s="114"/>
      <c r="AB21" s="92" t="s">
        <v>1169</v>
      </c>
      <c r="AG21" s="65">
        <v>6</v>
      </c>
      <c r="AH21" s="66" t="e">
        <f>"da "&amp;ROUND(AO17,1)&amp;" pedoni/anno a "&amp;ROUND(AO15,1)&amp;"  pedoni/settimana"</f>
        <v>#DIV/0!</v>
      </c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4"/>
      <c r="AX21" s="44"/>
      <c r="AY21" s="44"/>
      <c r="AZ21" s="44"/>
      <c r="BA21" s="44"/>
      <c r="BB21" s="44"/>
      <c r="BC21" s="44"/>
      <c r="BD21" s="83" t="str">
        <f>IF(BD18="proprietà",BD31,IF(BD18="occupazione",BD41,IF(BD18="pedoni/ciclisti",AH17,IF(BD18="traffico 30 Km/h",AL58,IF(BD18="traffico 50 km/h",AL50,IF(BD18="traffico 70 Km/h",AL42,IF(BD18="traffico 90 Km/h",AL34,IF(BD18="traffico 110 km/h",AL26, " "))))))))</f>
        <v xml:space="preserve"> </v>
      </c>
      <c r="BE21" s="49">
        <v>2</v>
      </c>
      <c r="BF21" s="49"/>
    </row>
    <row r="22" spans="2:61" ht="15" customHeight="1" thickBot="1" x14ac:dyDescent="0.35">
      <c r="B22" s="567" t="s">
        <v>1585</v>
      </c>
      <c r="C22" s="568"/>
      <c r="D22" s="568"/>
      <c r="E22" s="569" t="str">
        <f>IF(AB22="x","",AB22)</f>
        <v/>
      </c>
      <c r="F22" s="569"/>
      <c r="G22" s="570" t="str">
        <f>IF(E13="","",VLOOKUP(AB22,A!$AP$24:$AQ$41,2,FALSE))</f>
        <v/>
      </c>
      <c r="H22" s="570"/>
      <c r="I22" s="570"/>
      <c r="J22" s="570"/>
      <c r="K22" s="570"/>
      <c r="L22" s="570"/>
      <c r="M22" s="570"/>
      <c r="N22" s="570"/>
      <c r="O22" s="570"/>
      <c r="P22" s="570"/>
      <c r="Q22" s="292"/>
      <c r="R22" s="571" t="str">
        <f>IF(E22="","",VLOOKUP(AA27,A!AP44:AQ49,2,FALSE))</f>
        <v/>
      </c>
      <c r="S22" s="571"/>
      <c r="T22" s="571"/>
      <c r="U22" s="572"/>
      <c r="V22" s="114"/>
      <c r="Z22" s="3" t="e">
        <f>IF(E13="-","dato assente",VLOOKUP(E22,$AA$28:$AB$45,2,FALSE))</f>
        <v>#N/A</v>
      </c>
      <c r="AA22" s="293" t="e">
        <f>$R$19&amp;$T$20&amp;$E13</f>
        <v>#N/A</v>
      </c>
      <c r="AB22" s="88" t="str">
        <f>IF(E13=0,"x",VLOOKUP(AA22,A!$AM$4:$AN$346,2,FALSE))</f>
        <v>x</v>
      </c>
      <c r="AG22" s="65">
        <v>7</v>
      </c>
      <c r="AH22" s="66" t="e">
        <f>"da "&amp;ROUND(AO18,1)&amp;" a "&amp;ROUND(AO17,1)&amp;"  pedoni/anno"</f>
        <v>#DIV/0!</v>
      </c>
      <c r="AI22" s="45"/>
      <c r="AJ22" s="45"/>
      <c r="AK22" s="45"/>
      <c r="AL22" s="45"/>
      <c r="AM22" s="45"/>
      <c r="AN22" s="45"/>
      <c r="AO22" s="115"/>
      <c r="AP22" s="116" t="s">
        <v>1663</v>
      </c>
      <c r="AQ22" s="117">
        <v>1.3</v>
      </c>
      <c r="AR22" s="45"/>
      <c r="AS22" s="45"/>
      <c r="AT22" s="45"/>
      <c r="AU22" s="45"/>
      <c r="AV22" s="45"/>
      <c r="AW22" s="44"/>
      <c r="AX22" s="44"/>
      <c r="AY22" s="44"/>
      <c r="AZ22" s="44"/>
      <c r="BA22" s="44"/>
      <c r="BB22" s="44"/>
      <c r="BC22" s="44"/>
      <c r="BD22" s="83" t="str">
        <f>IF(BD18="proprietà",BD32,IF(BD18="occupazione",BD42,IF(BD18="pedoni/ciclisti",AH18,IF(BD18="traffico 30 Km/h",AL59,IF(BD18="traffico 50 km/h",AL51,IF(BD18="traffico 70 Km/h",AL43,IF(BD18="traffico 90 Km/h",AL35,IF(BD18="traffico 110 km/h",AL27, " "))))))))</f>
        <v xml:space="preserve"> </v>
      </c>
      <c r="BE22" s="49">
        <v>3</v>
      </c>
      <c r="BF22" s="49"/>
    </row>
    <row r="23" spans="2:61" ht="15" customHeight="1" x14ac:dyDescent="0.3">
      <c r="B23" s="575" t="s">
        <v>1586</v>
      </c>
      <c r="C23" s="576"/>
      <c r="D23" s="576"/>
      <c r="E23" s="577" t="str">
        <f>IF(AB23="x","",AB23)</f>
        <v/>
      </c>
      <c r="F23" s="577"/>
      <c r="G23" s="578" t="str">
        <f>IF(E14="","",VLOOKUP(AB23,A!$AP$24:$AQ$41,2,FALSE))</f>
        <v/>
      </c>
      <c r="H23" s="578"/>
      <c r="I23" s="578"/>
      <c r="J23" s="578"/>
      <c r="K23" s="578"/>
      <c r="L23" s="578"/>
      <c r="M23" s="578"/>
      <c r="N23" s="578"/>
      <c r="O23" s="578"/>
      <c r="P23" s="578"/>
      <c r="Q23" s="292"/>
      <c r="R23" s="571"/>
      <c r="S23" s="571"/>
      <c r="T23" s="571"/>
      <c r="U23" s="572"/>
      <c r="V23" s="114"/>
      <c r="Z23" s="3" t="e">
        <f>IF(E14="-","dato assente",VLOOKUP(E23,$AA$28:$AB$45,2,FALSE))</f>
        <v>#N/A</v>
      </c>
      <c r="AA23" s="165" t="e">
        <f>$I$19&amp;$L$20&amp;$E14</f>
        <v>#N/A</v>
      </c>
      <c r="AB23" s="166" t="str">
        <f>IF(E14=0,"x",VLOOKUP(AA23,A!$AM$4:$AN$346,2,FALSE))</f>
        <v>x</v>
      </c>
      <c r="AG23" s="65"/>
      <c r="AH23" s="66"/>
      <c r="AI23" s="45"/>
      <c r="AJ23" s="45"/>
      <c r="AK23" s="45"/>
      <c r="AL23" s="45"/>
      <c r="AM23" s="45"/>
      <c r="AN23" s="45"/>
      <c r="AO23" s="45"/>
      <c r="AP23" s="57" t="s">
        <v>184</v>
      </c>
      <c r="AQ23" s="46">
        <v>30</v>
      </c>
      <c r="AR23" s="46">
        <v>50</v>
      </c>
      <c r="AS23" s="46">
        <v>70</v>
      </c>
      <c r="AT23" s="46">
        <v>90</v>
      </c>
      <c r="AU23" s="46">
        <v>110</v>
      </c>
      <c r="AV23" s="46">
        <v>60</v>
      </c>
      <c r="AW23" s="44"/>
      <c r="AX23" s="44"/>
      <c r="AY23" s="44"/>
      <c r="AZ23" s="44"/>
      <c r="BA23" s="44"/>
      <c r="BB23" s="44"/>
      <c r="BC23" s="44"/>
      <c r="BD23" s="83" t="str">
        <f>IF(BD18="proprietà",BD33,IF(BD18="occupazione",BD43,IF(BD18="pedoni/ciclisti",AH19,IF(BD18="traffico 30 Km/h",AL60,IF(BD18="traffico 50 km/h",AL52,IF(BD18="traffico 70 Km/h",AL44,IF(BD18="traffico 90 Km/h",AL36,IF(BD18="traffico 110 km/h",AL28, " "))))))))</f>
        <v xml:space="preserve"> </v>
      </c>
      <c r="BE23" s="49">
        <v>4</v>
      </c>
      <c r="BF23" s="49"/>
    </row>
    <row r="24" spans="2:61" ht="15" customHeight="1" thickBot="1" x14ac:dyDescent="0.35">
      <c r="B24" s="575" t="s">
        <v>169</v>
      </c>
      <c r="C24" s="576"/>
      <c r="D24" s="576"/>
      <c r="E24" s="577" t="str">
        <f>IF(AB24="x","",AB24)</f>
        <v/>
      </c>
      <c r="F24" s="577"/>
      <c r="G24" s="579" t="str">
        <f>IF(E15="","",VLOOKUP(AB24,A!$AP$24:$AQ$41,2,FALSE))</f>
        <v/>
      </c>
      <c r="H24" s="579"/>
      <c r="I24" s="579"/>
      <c r="J24" s="579"/>
      <c r="K24" s="579"/>
      <c r="L24" s="579"/>
      <c r="M24" s="579"/>
      <c r="N24" s="579"/>
      <c r="O24" s="579"/>
      <c r="P24" s="579"/>
      <c r="Q24" s="292"/>
      <c r="R24" s="571"/>
      <c r="S24" s="571"/>
      <c r="T24" s="571"/>
      <c r="U24" s="572"/>
      <c r="V24" s="114"/>
      <c r="Z24" s="3" t="e">
        <f>IF(E15="-","dato assente",VLOOKUP(E24,$AA$28:$AB$45,2,FALSE))</f>
        <v>#N/A</v>
      </c>
      <c r="AA24" s="165" t="e">
        <f>$I$19&amp;$L$20&amp;$E15</f>
        <v>#N/A</v>
      </c>
      <c r="AB24" s="166" t="str">
        <f>IF(E15=0,"x",VLOOKUP(AA24,A!$AM$4:$AN$346,2,FALSE))</f>
        <v>x</v>
      </c>
      <c r="AG24" s="65"/>
      <c r="AH24" s="46" t="s">
        <v>336</v>
      </c>
      <c r="AI24" s="45"/>
      <c r="AJ24" s="45"/>
      <c r="AK24" s="46"/>
      <c r="AL24" s="46" t="s">
        <v>337</v>
      </c>
      <c r="AM24" s="46"/>
      <c r="AN24" s="45"/>
      <c r="AO24" s="45"/>
      <c r="AP24" s="57" t="s">
        <v>185</v>
      </c>
      <c r="AQ24" s="193">
        <f t="shared" ref="AQ24:AV24" si="0">AQ23*1000/3600</f>
        <v>8.3333333333333339</v>
      </c>
      <c r="AR24" s="193">
        <f t="shared" si="0"/>
        <v>13.888888888888889</v>
      </c>
      <c r="AS24" s="193">
        <f t="shared" si="0"/>
        <v>19.444444444444443</v>
      </c>
      <c r="AT24" s="193">
        <f t="shared" si="0"/>
        <v>25</v>
      </c>
      <c r="AU24" s="193">
        <f t="shared" si="0"/>
        <v>30.555555555555557</v>
      </c>
      <c r="AV24" s="193">
        <f t="shared" si="0"/>
        <v>16.666666666666668</v>
      </c>
      <c r="AW24" s="44"/>
      <c r="AX24" s="44"/>
      <c r="AY24" s="44"/>
      <c r="AZ24" s="44"/>
      <c r="BA24" s="44"/>
      <c r="BB24" s="44"/>
      <c r="BC24" s="44"/>
      <c r="BD24" s="83" t="str">
        <f>IF(BD18="proprietà",BD34,IF(BD18="occupazione",BD44,IF(BD18="pedoni/ciclisti",AH20,IF(BD18="traffico 30 Km/h",AL61,IF(BD18="traffico 50 km/h",AL53,IF(BD18="traffico 70 Km/h",AL45,IF(BD18="traffico 90 Km/h",AL37,IF(BD18="traffico 110 km/h",AL29, " "))))))))</f>
        <v xml:space="preserve"> </v>
      </c>
      <c r="BE24" s="49">
        <v>5</v>
      </c>
      <c r="BF24" s="49"/>
    </row>
    <row r="25" spans="2:61" ht="15" customHeight="1" thickBot="1" x14ac:dyDescent="0.35">
      <c r="B25" s="596" t="s">
        <v>1584</v>
      </c>
      <c r="C25" s="597"/>
      <c r="D25" s="597"/>
      <c r="E25" s="598" t="str">
        <f>IF(AB25="x","",AB25)</f>
        <v/>
      </c>
      <c r="F25" s="598"/>
      <c r="G25" s="599" t="str">
        <f>IF(E16="","",VLOOKUP(AB25,A!$AP$24:$AQ$41,2,FALSE))</f>
        <v/>
      </c>
      <c r="H25" s="599"/>
      <c r="I25" s="599"/>
      <c r="J25" s="599"/>
      <c r="K25" s="599"/>
      <c r="L25" s="599"/>
      <c r="M25" s="599"/>
      <c r="N25" s="599"/>
      <c r="O25" s="599"/>
      <c r="P25" s="599"/>
      <c r="Q25" s="294"/>
      <c r="R25" s="573"/>
      <c r="S25" s="573"/>
      <c r="T25" s="573"/>
      <c r="U25" s="574"/>
      <c r="V25" s="114"/>
      <c r="Z25" s="3" t="e">
        <f>IF(E16="-","dato assente",VLOOKUP(E25,$AA$28:$AB$45,2,FALSE))</f>
        <v>#N/A</v>
      </c>
      <c r="AA25" s="295" t="e">
        <f>$I$19&amp;$L$20&amp;LEFT($E16,1)</f>
        <v>#N/A</v>
      </c>
      <c r="AB25" s="29" t="str">
        <f>IF(E16=0,"x",VLOOKUP(AA25,A!$AM$4:$AN$346,2,FALSE))</f>
        <v>x</v>
      </c>
      <c r="AG25" s="65">
        <v>1</v>
      </c>
      <c r="AH25" s="66" t="e">
        <f>"da "&amp;ROUND(AU30,0)&amp;" a "&amp;ROUND(AU29,0)&amp;" auto/giorno a 110 kmh"</f>
        <v>#DIV/0!</v>
      </c>
      <c r="AI25" s="45"/>
      <c r="AJ25" s="45"/>
      <c r="AK25" s="46">
        <v>1</v>
      </c>
      <c r="AL25" s="66" t="e">
        <f>"da "&amp;ROUND(AU52,0)&amp;" a "&amp;ROUND(AU51,0)&amp;" auto/giorno a 110 kmh"</f>
        <v>#DIV/0!</v>
      </c>
      <c r="AM25" s="66"/>
      <c r="AN25" s="45"/>
      <c r="AO25" s="125"/>
      <c r="AP25" s="126" t="s">
        <v>183</v>
      </c>
      <c r="AQ25" s="193">
        <f t="shared" ref="AQ25:AV25" si="1">AQ24^2/(2*9.8*0.5)</f>
        <v>7.0861678004535156</v>
      </c>
      <c r="AR25" s="193">
        <f t="shared" si="1"/>
        <v>19.683799445704206</v>
      </c>
      <c r="AS25" s="193">
        <f t="shared" si="1"/>
        <v>38.58024691358024</v>
      </c>
      <c r="AT25" s="193">
        <f t="shared" si="1"/>
        <v>63.775510204081627</v>
      </c>
      <c r="AU25" s="193">
        <f t="shared" si="1"/>
        <v>95.269589317208357</v>
      </c>
      <c r="AV25" s="193">
        <f t="shared" si="1"/>
        <v>28.344671201814062</v>
      </c>
      <c r="AW25" s="44"/>
      <c r="AX25" s="44"/>
      <c r="AY25" s="44"/>
      <c r="AZ25" s="44"/>
      <c r="BA25" s="44"/>
      <c r="BB25" s="44"/>
      <c r="BC25" s="44"/>
      <c r="BD25" s="83" t="str">
        <f>IF(BD18="proprietà",BD35,IF(BD18="occupazione",BD45,IF(BD18="pedoni/ciclisti",AH21,IF(BD18="traffico 30 Km/h",AL62,IF(BD18="traffico 50 km/h",AL54,IF(BD18="traffico 70 Km/h",AL46,IF(BD18="traffico 90 Km/h",AL38,IF(BD18="traffico 110 km/h",AL30, " "))))))))</f>
        <v xml:space="preserve"> </v>
      </c>
      <c r="BE25" s="49">
        <v>6</v>
      </c>
      <c r="BF25" s="49"/>
    </row>
    <row r="26" spans="2:61" ht="6" customHeight="1" thickBot="1" x14ac:dyDescent="0.35">
      <c r="V26" s="114"/>
      <c r="AG26" s="65">
        <v>2</v>
      </c>
      <c r="AH26" s="66" t="e">
        <f>"da "&amp;ROUND(AU32,0)&amp;" a "&amp;ROUND(AU30,0)&amp;" auto/giorno a 110 kmh"</f>
        <v>#DIV/0!</v>
      </c>
      <c r="AI26" s="45"/>
      <c r="AJ26" s="45"/>
      <c r="AK26" s="46">
        <v>2</v>
      </c>
      <c r="AL26" s="66" t="e">
        <f>"da "&amp;ROUND(AU54,0)&amp;" a "&amp;ROUND(AU52,0)&amp;" auto/giorno a 110 kmh"</f>
        <v>#DIV/0!</v>
      </c>
      <c r="AM26" s="66"/>
      <c r="AN26" s="45"/>
      <c r="AO26" s="129"/>
      <c r="AP26" s="130" t="s">
        <v>1694</v>
      </c>
      <c r="AQ26" s="122">
        <f t="shared" ref="AQ26:AV26" si="2">AQ25/AQ24</f>
        <v>0.85034013605442182</v>
      </c>
      <c r="AR26" s="122">
        <f t="shared" si="2"/>
        <v>1.4172335600907029</v>
      </c>
      <c r="AS26" s="122">
        <f t="shared" si="2"/>
        <v>1.984126984126984</v>
      </c>
      <c r="AT26" s="122">
        <f t="shared" si="2"/>
        <v>2.5510204081632653</v>
      </c>
      <c r="AU26" s="122">
        <f t="shared" si="2"/>
        <v>3.1179138321995459</v>
      </c>
      <c r="AV26" s="122">
        <f t="shared" si="2"/>
        <v>1.7006802721088436</v>
      </c>
      <c r="AW26" s="44"/>
      <c r="AX26" s="44"/>
      <c r="AY26" s="44"/>
      <c r="AZ26" s="44"/>
      <c r="BA26" s="44"/>
      <c r="BB26" s="44"/>
      <c r="BC26" s="44"/>
      <c r="BD26" s="103" t="str">
        <f>IF(BD18="proprietà",BD36,IF(BD18="occupazione",BD46,IF(BD18="pedoni/ciclisti",AH22,IF(BD18="traffico 30 Km/h",AL63,IF(BD18="traffico 50 km/h",AL55,IF(BD18="traffico 70 Km/h",AL47,IF(BD18="traffico 90 Km/h",AL39,IF(BD18="traffico 110 km/h",AL31, " "))))))))</f>
        <v xml:space="preserve"> </v>
      </c>
      <c r="BE26" s="104">
        <v>7</v>
      </c>
      <c r="BF26" s="49"/>
      <c r="BI26" s="60"/>
    </row>
    <row r="27" spans="2:61" ht="15" customHeight="1" thickBot="1" x14ac:dyDescent="0.35">
      <c r="B27" s="600" t="s">
        <v>1576</v>
      </c>
      <c r="C27" s="601"/>
      <c r="D27" s="601"/>
      <c r="E27" s="601"/>
      <c r="F27" s="601"/>
      <c r="G27" s="601"/>
      <c r="H27" s="601"/>
      <c r="I27" s="601"/>
      <c r="J27" s="601"/>
      <c r="K27" s="601"/>
      <c r="L27" s="601"/>
      <c r="M27" s="601"/>
      <c r="N27" s="601"/>
      <c r="O27" s="601"/>
      <c r="P27" s="601"/>
      <c r="Q27" s="601"/>
      <c r="R27" s="601"/>
      <c r="S27" s="601"/>
      <c r="T27" s="601"/>
      <c r="U27" s="602"/>
      <c r="V27" s="114"/>
      <c r="AA27" s="296" t="e">
        <f>MIN(IF(Z22="",Z23:Z25,IF(Z23="",Z22+Z24+Z25,IF(Z24="",Z22+Z23+Z25,IF(Z25="",Z22:Z24,Z22:Z25)))))</f>
        <v>#N/A</v>
      </c>
      <c r="AG27" s="65">
        <v>3</v>
      </c>
      <c r="AH27" s="66" t="e">
        <f>"da "&amp;ROUND(AU34,0)&amp;" a "&amp;ROUND(AU32,0)&amp;" auto a 110 kmh"</f>
        <v>#DIV/0!</v>
      </c>
      <c r="AI27" s="45"/>
      <c r="AJ27" s="45"/>
      <c r="AK27" s="46">
        <v>3</v>
      </c>
      <c r="AL27" s="66" t="e">
        <f>"da "&amp;ROUND(AU56,0)&amp;" a "&amp;ROUND(AU54,0)&amp;" auto/giorno a 110 kmh"</f>
        <v>#DIV/0!</v>
      </c>
      <c r="AM27" s="66"/>
      <c r="AN27" s="45"/>
      <c r="AO27" s="45"/>
      <c r="AP27" s="57" t="s">
        <v>175</v>
      </c>
      <c r="AQ27" s="46">
        <f>($J$9+$C$9)/2</f>
        <v>0</v>
      </c>
      <c r="AR27" s="46">
        <f t="shared" ref="AR27:AV27" si="3">($J$9+$C$9)/2</f>
        <v>0</v>
      </c>
      <c r="AS27" s="46">
        <f t="shared" si="3"/>
        <v>0</v>
      </c>
      <c r="AT27" s="46">
        <f t="shared" si="3"/>
        <v>0</v>
      </c>
      <c r="AU27" s="46">
        <f t="shared" si="3"/>
        <v>0</v>
      </c>
      <c r="AV27" s="46">
        <f t="shared" si="3"/>
        <v>0</v>
      </c>
      <c r="AW27" s="44"/>
      <c r="AX27" s="44"/>
      <c r="AY27" s="44"/>
      <c r="AZ27" s="44"/>
      <c r="BA27" s="44"/>
      <c r="BB27" s="44"/>
      <c r="BC27" s="44"/>
      <c r="BD27" s="44"/>
      <c r="BE27" s="44"/>
      <c r="BF27" s="105"/>
    </row>
    <row r="28" spans="2:61" ht="15" customHeight="1" x14ac:dyDescent="0.3">
      <c r="B28" s="603" t="s">
        <v>1574</v>
      </c>
      <c r="C28" s="580"/>
      <c r="D28" s="580"/>
      <c r="E28" s="580"/>
      <c r="F28" s="580"/>
      <c r="G28" s="580"/>
      <c r="H28" s="580"/>
      <c r="I28" s="580"/>
      <c r="J28" s="580" t="s">
        <v>122</v>
      </c>
      <c r="K28" s="580"/>
      <c r="L28" s="580" t="s">
        <v>1194</v>
      </c>
      <c r="M28" s="580"/>
      <c r="N28" s="580"/>
      <c r="O28" s="580" t="s">
        <v>122</v>
      </c>
      <c r="P28" s="580"/>
      <c r="Q28" s="580" t="s">
        <v>533</v>
      </c>
      <c r="R28" s="580"/>
      <c r="S28" s="580"/>
      <c r="T28" s="581" t="s">
        <v>1615</v>
      </c>
      <c r="U28" s="582"/>
      <c r="AA28" s="297" t="s">
        <v>495</v>
      </c>
      <c r="AB28" s="3">
        <v>1</v>
      </c>
      <c r="AG28" s="65">
        <v>4</v>
      </c>
      <c r="AH28" s="66" t="e">
        <f>"da "&amp;ROUND(AU36,0)&amp;" a "&amp;ROUND(AU34,0)&amp;" auto/giorno a 110 kmh"</f>
        <v>#DIV/0!</v>
      </c>
      <c r="AI28" s="45"/>
      <c r="AJ28" s="45"/>
      <c r="AK28" s="46">
        <v>4</v>
      </c>
      <c r="AL28" s="66" t="e">
        <f>"da "&amp;ROUND(AU58,0)&amp;" a "&amp;ROUND(AU56,0)&amp;" auto/giorno a 110 kmh"</f>
        <v>#DIV/0!</v>
      </c>
      <c r="AM28" s="66"/>
      <c r="AN28" s="45"/>
      <c r="AO28" s="45"/>
      <c r="AP28" s="57" t="s">
        <v>1693</v>
      </c>
      <c r="AQ28" s="122">
        <f t="shared" ref="AQ28:AV28" si="4">AQ27/AQ24</f>
        <v>0</v>
      </c>
      <c r="AR28" s="122">
        <f t="shared" si="4"/>
        <v>0</v>
      </c>
      <c r="AS28" s="122">
        <f t="shared" si="4"/>
        <v>0</v>
      </c>
      <c r="AT28" s="122">
        <f t="shared" si="4"/>
        <v>0</v>
      </c>
      <c r="AU28" s="122">
        <f t="shared" si="4"/>
        <v>0</v>
      </c>
      <c r="AV28" s="122">
        <f t="shared" si="4"/>
        <v>0</v>
      </c>
      <c r="AW28" s="57" t="s">
        <v>184</v>
      </c>
      <c r="AX28" s="46">
        <v>30</v>
      </c>
      <c r="AY28" s="46">
        <v>50</v>
      </c>
      <c r="AZ28" s="46">
        <v>70</v>
      </c>
      <c r="BA28" s="46">
        <v>90</v>
      </c>
      <c r="BB28" s="46">
        <v>110</v>
      </c>
      <c r="BC28" s="44"/>
      <c r="BD28" s="44"/>
      <c r="BE28" s="44"/>
      <c r="BF28" s="105"/>
    </row>
    <row r="29" spans="2:61" ht="24" customHeight="1" x14ac:dyDescent="0.3">
      <c r="B29" s="583"/>
      <c r="C29" s="584"/>
      <c r="D29" s="584"/>
      <c r="E29" s="584"/>
      <c r="F29" s="584"/>
      <c r="G29" s="584"/>
      <c r="H29" s="584"/>
      <c r="I29" s="584"/>
      <c r="J29" s="585"/>
      <c r="K29" s="585"/>
      <c r="L29" s="584"/>
      <c r="M29" s="584"/>
      <c r="N29" s="584"/>
      <c r="O29" s="585"/>
      <c r="P29" s="585"/>
      <c r="Q29" s="584"/>
      <c r="R29" s="584"/>
      <c r="S29" s="584"/>
      <c r="T29" s="594"/>
      <c r="U29" s="595"/>
      <c r="V29" s="114"/>
      <c r="AA29" s="298" t="s">
        <v>496</v>
      </c>
      <c r="AB29" s="3">
        <v>1</v>
      </c>
      <c r="AG29" s="65">
        <v>5</v>
      </c>
      <c r="AH29" s="66" t="e">
        <f>"da "&amp;ROUND(AU38,1)&amp;" a "&amp;ROUND(AU36,0)&amp;" auto/giorno a 110 kmh"</f>
        <v>#DIV/0!</v>
      </c>
      <c r="AI29" s="45"/>
      <c r="AJ29" s="45"/>
      <c r="AK29" s="46">
        <v>5</v>
      </c>
      <c r="AL29" s="66" t="e">
        <f>"da "&amp;ROUND(AU60,1)&amp;" a "&amp;ROUND(AU58,0)&amp;" auto/giorno a 110 kmh"</f>
        <v>#DIV/0!</v>
      </c>
      <c r="AM29" s="66"/>
      <c r="AN29" s="45"/>
      <c r="AO29" s="45"/>
      <c r="AP29" s="143" t="s">
        <v>9</v>
      </c>
      <c r="AQ29" s="144" t="e">
        <f>MIN(86400/AQ26,86400/AQ28)/$AQ$22</f>
        <v>#DIV/0!</v>
      </c>
      <c r="AR29" s="144" t="e">
        <f t="shared" ref="AR29:AV29" si="5">MIN(86400/AR26,86400/AR28)/$AQ$22</f>
        <v>#DIV/0!</v>
      </c>
      <c r="AS29" s="144" t="e">
        <f t="shared" si="5"/>
        <v>#DIV/0!</v>
      </c>
      <c r="AT29" s="144" t="e">
        <f t="shared" si="5"/>
        <v>#DIV/0!</v>
      </c>
      <c r="AU29" s="144" t="e">
        <f t="shared" si="5"/>
        <v>#DIV/0!</v>
      </c>
      <c r="AV29" s="144" t="e">
        <f t="shared" si="5"/>
        <v>#DIV/0!</v>
      </c>
      <c r="AW29" s="44"/>
      <c r="AX29" s="145" t="e">
        <f>86400/AQ29</f>
        <v>#DIV/0!</v>
      </c>
      <c r="AY29" s="145" t="e">
        <f t="shared" ref="AY29:BB31" si="6">86400/AR29</f>
        <v>#DIV/0!</v>
      </c>
      <c r="AZ29" s="145" t="e">
        <f t="shared" si="6"/>
        <v>#DIV/0!</v>
      </c>
      <c r="BA29" s="145" t="e">
        <f t="shared" si="6"/>
        <v>#DIV/0!</v>
      </c>
      <c r="BB29" s="145" t="e">
        <f t="shared" si="6"/>
        <v>#DIV/0!</v>
      </c>
      <c r="BC29" s="144" t="s">
        <v>6</v>
      </c>
      <c r="BD29" s="146" t="s">
        <v>182</v>
      </c>
      <c r="BE29" s="44"/>
      <c r="BF29" s="105"/>
      <c r="BI29" s="133"/>
    </row>
    <row r="30" spans="2:61" ht="24" customHeight="1" thickBot="1" x14ac:dyDescent="0.35">
      <c r="B30" s="589"/>
      <c r="C30" s="590"/>
      <c r="D30" s="590"/>
      <c r="E30" s="590"/>
      <c r="F30" s="590"/>
      <c r="G30" s="590"/>
      <c r="H30" s="590"/>
      <c r="I30" s="590"/>
      <c r="J30" s="591"/>
      <c r="K30" s="591"/>
      <c r="L30" s="590"/>
      <c r="M30" s="590"/>
      <c r="N30" s="590"/>
      <c r="O30" s="591"/>
      <c r="P30" s="591"/>
      <c r="Q30" s="590"/>
      <c r="R30" s="590"/>
      <c r="S30" s="590"/>
      <c r="T30" s="592"/>
      <c r="U30" s="593"/>
      <c r="AA30" s="299" t="s">
        <v>4</v>
      </c>
      <c r="AB30" s="3">
        <v>1</v>
      </c>
      <c r="AG30" s="65">
        <v>6</v>
      </c>
      <c r="AH30" s="66" t="e">
        <f>"da "&amp;ROUND(AU40,2)&amp;" a "&amp;ROUND(AU38,0)&amp;" auto/giorno a 110 kmh"</f>
        <v>#DIV/0!</v>
      </c>
      <c r="AI30" s="45"/>
      <c r="AJ30" s="45"/>
      <c r="AK30" s="46">
        <v>6</v>
      </c>
      <c r="AL30" s="66" t="e">
        <f>"da "&amp;ROUND(AU62,2)&amp;" a "&amp;ROUND(AU60,0)&amp;" auto/giorno a 110 kmh"</f>
        <v>#DIV/0!</v>
      </c>
      <c r="AM30" s="66"/>
      <c r="AN30" s="45"/>
      <c r="AO30" s="45"/>
      <c r="AP30" s="143" t="s">
        <v>16</v>
      </c>
      <c r="AQ30" s="151" t="e">
        <f>AQ29/5</f>
        <v>#DIV/0!</v>
      </c>
      <c r="AR30" s="151" t="e">
        <f t="shared" ref="AR30:AV30" si="7">AR29/5</f>
        <v>#DIV/0!</v>
      </c>
      <c r="AS30" s="151" t="e">
        <f t="shared" si="7"/>
        <v>#DIV/0!</v>
      </c>
      <c r="AT30" s="151" t="e">
        <f t="shared" si="7"/>
        <v>#DIV/0!</v>
      </c>
      <c r="AU30" s="151" t="e">
        <f t="shared" si="7"/>
        <v>#DIV/0!</v>
      </c>
      <c r="AV30" s="151" t="e">
        <f t="shared" si="7"/>
        <v>#DIV/0!</v>
      </c>
      <c r="AW30" s="44"/>
      <c r="AX30" s="144" t="e">
        <f t="shared" ref="AX30:AX31" si="8">86400/AQ30</f>
        <v>#DIV/0!</v>
      </c>
      <c r="AY30" s="144" t="e">
        <f t="shared" si="6"/>
        <v>#DIV/0!</v>
      </c>
      <c r="AZ30" s="144" t="e">
        <f t="shared" si="6"/>
        <v>#DIV/0!</v>
      </c>
      <c r="BA30" s="144" t="e">
        <f t="shared" si="6"/>
        <v>#DIV/0!</v>
      </c>
      <c r="BB30" s="144" t="e">
        <f t="shared" si="6"/>
        <v>#DIV/0!</v>
      </c>
      <c r="BC30" s="144" t="s">
        <v>6</v>
      </c>
      <c r="BD30" s="300" t="s">
        <v>1010</v>
      </c>
      <c r="BE30" s="44"/>
      <c r="BF30" s="105"/>
      <c r="BI30" s="60" t="s">
        <v>1641</v>
      </c>
    </row>
    <row r="31" spans="2:61" ht="6" customHeight="1" thickBot="1" x14ac:dyDescent="0.35">
      <c r="AA31" s="299" t="s">
        <v>497</v>
      </c>
      <c r="AB31" s="3">
        <v>1</v>
      </c>
      <c r="AG31" s="65">
        <v>7</v>
      </c>
      <c r="AH31" s="66" t="e">
        <f>"da "&amp;ROUND(AU41,2)&amp;" a "&amp;ROUND(AU40,2)&amp;" auto/giorno a 110 kmh"</f>
        <v>#DIV/0!</v>
      </c>
      <c r="AI31" s="45"/>
      <c r="AJ31" s="45"/>
      <c r="AK31" s="46">
        <v>7</v>
      </c>
      <c r="AL31" s="66" t="e">
        <f>"da "&amp;ROUND(AU63,2)&amp;" a "&amp;ROUND(AU62,2)&amp;" auto/giorno a 110 kmh"</f>
        <v>#DIV/0!</v>
      </c>
      <c r="AM31" s="66"/>
      <c r="AN31" s="45"/>
      <c r="AO31" s="45"/>
      <c r="AP31" s="143" t="s">
        <v>10</v>
      </c>
      <c r="AQ31" s="151" t="e">
        <f t="shared" ref="AQ31:AV31" si="9">AQ29/10</f>
        <v>#DIV/0!</v>
      </c>
      <c r="AR31" s="151" t="e">
        <f t="shared" si="9"/>
        <v>#DIV/0!</v>
      </c>
      <c r="AS31" s="151" t="e">
        <f t="shared" si="9"/>
        <v>#DIV/0!</v>
      </c>
      <c r="AT31" s="151" t="e">
        <f t="shared" si="9"/>
        <v>#DIV/0!</v>
      </c>
      <c r="AU31" s="151" t="e">
        <f t="shared" si="9"/>
        <v>#DIV/0!</v>
      </c>
      <c r="AV31" s="151" t="e">
        <f t="shared" si="9"/>
        <v>#DIV/0!</v>
      </c>
      <c r="AW31" s="44"/>
      <c r="AX31" s="144" t="e">
        <f t="shared" si="8"/>
        <v>#DIV/0!</v>
      </c>
      <c r="AY31" s="144" t="e">
        <f t="shared" si="6"/>
        <v>#DIV/0!</v>
      </c>
      <c r="AZ31" s="144" t="e">
        <f t="shared" si="6"/>
        <v>#DIV/0!</v>
      </c>
      <c r="BA31" s="144" t="e">
        <f t="shared" si="6"/>
        <v>#DIV/0!</v>
      </c>
      <c r="BB31" s="144" t="e">
        <f t="shared" si="6"/>
        <v>#DIV/0!</v>
      </c>
      <c r="BC31" s="144" t="s">
        <v>6</v>
      </c>
      <c r="BD31" s="300" t="s">
        <v>1011</v>
      </c>
      <c r="BE31" s="44"/>
      <c r="BF31" s="105"/>
    </row>
    <row r="32" spans="2:61" ht="31.95" customHeight="1" thickBot="1" x14ac:dyDescent="0.35">
      <c r="B32" s="200" t="s">
        <v>1163</v>
      </c>
      <c r="C32" s="587"/>
      <c r="D32" s="587"/>
      <c r="E32" s="587"/>
      <c r="F32" s="587"/>
      <c r="G32" s="587"/>
      <c r="H32" s="587"/>
      <c r="I32" s="587"/>
      <c r="J32" s="587"/>
      <c r="K32" s="587"/>
      <c r="L32" s="587"/>
      <c r="M32" s="587"/>
      <c r="N32" s="587"/>
      <c r="O32" s="587"/>
      <c r="P32" s="587"/>
      <c r="Q32" s="587"/>
      <c r="R32" s="587"/>
      <c r="S32" s="587"/>
      <c r="T32" s="587"/>
      <c r="U32" s="588"/>
      <c r="AA32" s="299" t="s">
        <v>504</v>
      </c>
      <c r="AB32" s="3">
        <v>1</v>
      </c>
      <c r="AG32" s="65"/>
      <c r="AH32" s="66"/>
      <c r="AI32" s="45"/>
      <c r="AJ32" s="45"/>
      <c r="AK32" s="46"/>
      <c r="AL32" s="66"/>
      <c r="AM32" s="66"/>
      <c r="AN32" s="45"/>
      <c r="AO32" s="45"/>
      <c r="AP32" s="143" t="s">
        <v>17</v>
      </c>
      <c r="AQ32" s="151" t="e">
        <f>AQ31/5</f>
        <v>#DIV/0!</v>
      </c>
      <c r="AR32" s="151" t="e">
        <f t="shared" ref="AR32:AV32" si="10">AR31/5</f>
        <v>#DIV/0!</v>
      </c>
      <c r="AS32" s="151" t="e">
        <f t="shared" si="10"/>
        <v>#DIV/0!</v>
      </c>
      <c r="AT32" s="151" t="e">
        <f t="shared" si="10"/>
        <v>#DIV/0!</v>
      </c>
      <c r="AU32" s="151" t="e">
        <f t="shared" si="10"/>
        <v>#DIV/0!</v>
      </c>
      <c r="AV32" s="151" t="e">
        <f t="shared" si="10"/>
        <v>#DIV/0!</v>
      </c>
      <c r="AW32" s="44"/>
      <c r="AX32" s="144" t="e">
        <f>1440/AQ32</f>
        <v>#DIV/0!</v>
      </c>
      <c r="AY32" s="144" t="e">
        <f t="shared" ref="AY32:BB35" si="11">1440/AR32</f>
        <v>#DIV/0!</v>
      </c>
      <c r="AZ32" s="144" t="e">
        <f t="shared" si="11"/>
        <v>#DIV/0!</v>
      </c>
      <c r="BA32" s="144" t="e">
        <f t="shared" si="11"/>
        <v>#DIV/0!</v>
      </c>
      <c r="BB32" s="144" t="e">
        <f t="shared" si="11"/>
        <v>#DIV/0!</v>
      </c>
      <c r="BC32" s="144" t="s">
        <v>7</v>
      </c>
      <c r="BD32" s="300" t="s">
        <v>1012</v>
      </c>
      <c r="BE32" s="44"/>
      <c r="BF32" s="105"/>
    </row>
    <row r="33" spans="2:59" ht="15" customHeight="1" x14ac:dyDescent="0.3">
      <c r="B33" s="189"/>
      <c r="C33" s="301"/>
      <c r="D33" s="189"/>
      <c r="E33" s="189"/>
      <c r="F33" s="302"/>
      <c r="G33" s="97"/>
      <c r="H33" s="301"/>
      <c r="I33" s="189"/>
      <c r="J33" s="189"/>
      <c r="K33" s="301"/>
      <c r="L33" s="189"/>
      <c r="M33" s="303"/>
      <c r="N33" s="189"/>
      <c r="O33" s="189"/>
      <c r="P33" s="303"/>
      <c r="Q33" s="189"/>
      <c r="R33" s="303"/>
      <c r="S33" s="189"/>
      <c r="T33" s="189"/>
      <c r="U33" s="303"/>
      <c r="AA33" s="299" t="s">
        <v>22</v>
      </c>
      <c r="AB33" s="3">
        <v>1</v>
      </c>
      <c r="AG33" s="65">
        <v>1</v>
      </c>
      <c r="AH33" s="66" t="e">
        <f>"da "&amp;ROUND(AT30,0)&amp;" a "&amp;ROUND(AT29,0)&amp;" auto/giorno a 90 kmh"</f>
        <v>#DIV/0!</v>
      </c>
      <c r="AI33" s="45"/>
      <c r="AJ33" s="45"/>
      <c r="AK33" s="46">
        <v>1</v>
      </c>
      <c r="AL33" s="66" t="e">
        <f>"da "&amp;ROUND(AT52,0)&amp;" a "&amp;ROUND(AT51,0)&amp;" auto/giorno a 90 kmh"</f>
        <v>#DIV/0!</v>
      </c>
      <c r="AM33" s="66"/>
      <c r="AN33" s="45"/>
      <c r="AO33" s="45"/>
      <c r="AP33" s="143" t="s">
        <v>11</v>
      </c>
      <c r="AQ33" s="163" t="e">
        <f t="shared" ref="AQ33:AV33" si="12">AQ31/10</f>
        <v>#DIV/0!</v>
      </c>
      <c r="AR33" s="163" t="e">
        <f t="shared" si="12"/>
        <v>#DIV/0!</v>
      </c>
      <c r="AS33" s="163" t="e">
        <f t="shared" si="12"/>
        <v>#DIV/0!</v>
      </c>
      <c r="AT33" s="163" t="e">
        <f t="shared" si="12"/>
        <v>#DIV/0!</v>
      </c>
      <c r="AU33" s="163" t="e">
        <f t="shared" si="12"/>
        <v>#DIV/0!</v>
      </c>
      <c r="AV33" s="163" t="e">
        <f t="shared" si="12"/>
        <v>#DIV/0!</v>
      </c>
      <c r="AW33" s="44"/>
      <c r="AX33" s="144" t="e">
        <f t="shared" ref="AX33:AX41" si="13">1440/AQ33</f>
        <v>#DIV/0!</v>
      </c>
      <c r="AY33" s="144" t="e">
        <f t="shared" si="11"/>
        <v>#DIV/0!</v>
      </c>
      <c r="AZ33" s="144" t="e">
        <f t="shared" si="11"/>
        <v>#DIV/0!</v>
      </c>
      <c r="BA33" s="144" t="e">
        <f t="shared" si="11"/>
        <v>#DIV/0!</v>
      </c>
      <c r="BB33" s="144" t="e">
        <f t="shared" si="11"/>
        <v>#DIV/0!</v>
      </c>
      <c r="BC33" s="144" t="s">
        <v>7</v>
      </c>
      <c r="BD33" s="300" t="s">
        <v>1013</v>
      </c>
      <c r="BE33" s="44"/>
      <c r="BF33" s="105"/>
    </row>
    <row r="34" spans="2:59" ht="15" customHeight="1" x14ac:dyDescent="0.3">
      <c r="B34" s="189"/>
      <c r="C34" s="301"/>
      <c r="D34" s="189"/>
      <c r="E34" s="189"/>
      <c r="F34" s="302"/>
      <c r="G34" s="97"/>
      <c r="H34" s="301"/>
      <c r="I34" s="189"/>
      <c r="J34" s="189"/>
      <c r="K34" s="301"/>
      <c r="L34" s="189"/>
      <c r="M34" s="303"/>
      <c r="N34" s="189"/>
      <c r="O34" s="189"/>
      <c r="P34" s="303"/>
      <c r="Q34" s="189"/>
      <c r="R34" s="303"/>
      <c r="S34" s="189"/>
      <c r="T34" s="204"/>
      <c r="AA34" s="304" t="s">
        <v>335</v>
      </c>
      <c r="AB34" s="3">
        <v>2</v>
      </c>
      <c r="AG34" s="65">
        <v>2</v>
      </c>
      <c r="AH34" s="66" t="e">
        <f>"da "&amp;ROUND(AT32,0)&amp;" a "&amp;ROUND(AT30,0)&amp;" auto/giorno a 90 kmh"</f>
        <v>#DIV/0!</v>
      </c>
      <c r="AI34" s="45"/>
      <c r="AJ34" s="45"/>
      <c r="AK34" s="46">
        <v>2</v>
      </c>
      <c r="AL34" s="66" t="e">
        <f>"da "&amp;ROUND(AT54,0)&amp;" a "&amp;ROUND(AT52,0)&amp;" auto/giorno a 90 kmh"</f>
        <v>#DIV/0!</v>
      </c>
      <c r="AM34" s="66"/>
      <c r="AN34" s="45"/>
      <c r="AO34" s="45"/>
      <c r="AP34" s="143" t="s">
        <v>18</v>
      </c>
      <c r="AQ34" s="151" t="e">
        <f>AQ33/5</f>
        <v>#DIV/0!</v>
      </c>
      <c r="AR34" s="151" t="e">
        <f t="shared" ref="AR34:AV34" si="14">AR33/5</f>
        <v>#DIV/0!</v>
      </c>
      <c r="AS34" s="151" t="e">
        <f t="shared" si="14"/>
        <v>#DIV/0!</v>
      </c>
      <c r="AT34" s="151" t="e">
        <f t="shared" si="14"/>
        <v>#DIV/0!</v>
      </c>
      <c r="AU34" s="151" t="e">
        <f t="shared" si="14"/>
        <v>#DIV/0!</v>
      </c>
      <c r="AV34" s="151" t="e">
        <f t="shared" si="14"/>
        <v>#DIV/0!</v>
      </c>
      <c r="AW34" s="44"/>
      <c r="AX34" s="144" t="e">
        <f t="shared" si="13"/>
        <v>#DIV/0!</v>
      </c>
      <c r="AY34" s="144" t="e">
        <f t="shared" si="11"/>
        <v>#DIV/0!</v>
      </c>
      <c r="AZ34" s="144" t="e">
        <f t="shared" si="11"/>
        <v>#DIV/0!</v>
      </c>
      <c r="BA34" s="144" t="e">
        <f t="shared" si="11"/>
        <v>#DIV/0!</v>
      </c>
      <c r="BB34" s="144" t="e">
        <f t="shared" si="11"/>
        <v>#DIV/0!</v>
      </c>
      <c r="BC34" s="144" t="s">
        <v>7</v>
      </c>
      <c r="BD34" s="300" t="s">
        <v>1014</v>
      </c>
      <c r="BE34" s="44"/>
      <c r="BF34" s="105"/>
    </row>
    <row r="35" spans="2:59" ht="15" customHeight="1" x14ac:dyDescent="0.3">
      <c r="B35" s="189"/>
      <c r="C35" s="301"/>
      <c r="D35" s="189"/>
      <c r="E35" s="189"/>
      <c r="F35" s="302"/>
      <c r="G35" s="97"/>
      <c r="H35" s="301"/>
      <c r="I35" s="189"/>
      <c r="J35" s="189"/>
      <c r="K35" s="301"/>
      <c r="L35" s="189"/>
      <c r="M35" s="303"/>
      <c r="N35" s="189"/>
      <c r="O35" s="189"/>
      <c r="P35" s="303"/>
      <c r="Q35" s="189"/>
      <c r="R35" s="303"/>
      <c r="S35" s="189"/>
      <c r="T35" s="204"/>
      <c r="AA35" s="304" t="s">
        <v>501</v>
      </c>
      <c r="AB35" s="3">
        <v>2</v>
      </c>
      <c r="AG35" s="65">
        <v>3</v>
      </c>
      <c r="AH35" s="66" t="e">
        <f>"da "&amp;ROUND(AT34,0)&amp;" a "&amp;ROUND(AT32,0)&amp;" auto/giorno a 90 kmh"</f>
        <v>#DIV/0!</v>
      </c>
      <c r="AI35" s="45"/>
      <c r="AJ35" s="45"/>
      <c r="AK35" s="46">
        <v>3</v>
      </c>
      <c r="AL35" s="66" t="e">
        <f>"da "&amp;ROUND(AT56,0)&amp;" a "&amp;ROUND(AT54,0)&amp;" auto/giorno a 90 kmh"</f>
        <v>#DIV/0!</v>
      </c>
      <c r="AM35" s="66"/>
      <c r="AN35" s="45"/>
      <c r="AO35" s="45"/>
      <c r="AP35" s="143" t="s">
        <v>12</v>
      </c>
      <c r="AQ35" s="170" t="e">
        <f t="shared" ref="AQ35:AV35" si="15">AQ33/10</f>
        <v>#DIV/0!</v>
      </c>
      <c r="AR35" s="170" t="e">
        <f t="shared" si="15"/>
        <v>#DIV/0!</v>
      </c>
      <c r="AS35" s="170" t="e">
        <f t="shared" si="15"/>
        <v>#DIV/0!</v>
      </c>
      <c r="AT35" s="170" t="e">
        <f t="shared" si="15"/>
        <v>#DIV/0!</v>
      </c>
      <c r="AU35" s="170" t="e">
        <f t="shared" si="15"/>
        <v>#DIV/0!</v>
      </c>
      <c r="AV35" s="170" t="e">
        <f t="shared" si="15"/>
        <v>#DIV/0!</v>
      </c>
      <c r="AW35" s="44"/>
      <c r="AX35" s="144" t="e">
        <f t="shared" si="13"/>
        <v>#DIV/0!</v>
      </c>
      <c r="AY35" s="144" t="e">
        <f t="shared" si="11"/>
        <v>#DIV/0!</v>
      </c>
      <c r="AZ35" s="144" t="e">
        <f t="shared" si="11"/>
        <v>#DIV/0!</v>
      </c>
      <c r="BA35" s="144" t="e">
        <f t="shared" si="11"/>
        <v>#DIV/0!</v>
      </c>
      <c r="BB35" s="144" t="e">
        <f t="shared" si="11"/>
        <v>#DIV/0!</v>
      </c>
      <c r="BC35" s="144" t="s">
        <v>7</v>
      </c>
      <c r="BD35" s="300" t="s">
        <v>1015</v>
      </c>
      <c r="BE35" s="44"/>
      <c r="BF35" s="105"/>
    </row>
    <row r="36" spans="2:59" ht="15" customHeight="1" x14ac:dyDescent="0.3">
      <c r="B36" s="189"/>
      <c r="C36" s="301"/>
      <c r="D36" s="189"/>
      <c r="E36" s="189"/>
      <c r="F36" s="302"/>
      <c r="G36" s="97"/>
      <c r="H36" s="301"/>
      <c r="I36" s="189"/>
      <c r="J36" s="189"/>
      <c r="K36" s="301"/>
      <c r="L36" s="189"/>
      <c r="M36" s="303"/>
      <c r="N36" s="189"/>
      <c r="O36" s="189"/>
      <c r="P36" s="303"/>
      <c r="Q36" s="189"/>
      <c r="R36" s="303"/>
      <c r="S36" s="189"/>
      <c r="AA36" s="305" t="s">
        <v>23</v>
      </c>
      <c r="AB36" s="3">
        <v>3</v>
      </c>
      <c r="AG36" s="65">
        <v>4</v>
      </c>
      <c r="AH36" s="66" t="e">
        <f>"da "&amp;ROUND(AT36,0)&amp;" a "&amp;ROUND(AT34,0)&amp;" auto/giorno a 90 kmh"</f>
        <v>#DIV/0!</v>
      </c>
      <c r="AI36" s="45"/>
      <c r="AJ36" s="45"/>
      <c r="AK36" s="46">
        <v>4</v>
      </c>
      <c r="AL36" s="66" t="e">
        <f>"da "&amp;ROUND(AT58,0)&amp;" a "&amp;ROUND(AT56,0)&amp;" auto/giorno a 90 kmh"</f>
        <v>#DIV/0!</v>
      </c>
      <c r="AM36" s="66"/>
      <c r="AN36" s="45"/>
      <c r="AO36" s="45"/>
      <c r="AP36" s="143" t="s">
        <v>19</v>
      </c>
      <c r="AQ36" s="151" t="e">
        <f>AQ35/5</f>
        <v>#DIV/0!</v>
      </c>
      <c r="AR36" s="151" t="e">
        <f t="shared" ref="AR36:AV36" si="16">AR35/5</f>
        <v>#DIV/0!</v>
      </c>
      <c r="AS36" s="151" t="e">
        <f t="shared" si="16"/>
        <v>#DIV/0!</v>
      </c>
      <c r="AT36" s="151" t="e">
        <f t="shared" si="16"/>
        <v>#DIV/0!</v>
      </c>
      <c r="AU36" s="151" t="e">
        <f t="shared" si="16"/>
        <v>#DIV/0!</v>
      </c>
      <c r="AV36" s="151" t="e">
        <f t="shared" si="16"/>
        <v>#DIV/0!</v>
      </c>
      <c r="AW36" s="44"/>
      <c r="AX36" s="144" t="e">
        <f t="shared" si="13"/>
        <v>#DIV/0!</v>
      </c>
      <c r="AY36" s="145" t="e">
        <f>24/AR36</f>
        <v>#DIV/0!</v>
      </c>
      <c r="AZ36" s="145" t="e">
        <f t="shared" ref="AZ36:BB38" si="17">24/AS36</f>
        <v>#DIV/0!</v>
      </c>
      <c r="BA36" s="145" t="e">
        <f t="shared" si="17"/>
        <v>#DIV/0!</v>
      </c>
      <c r="BB36" s="145" t="e">
        <f t="shared" si="17"/>
        <v>#DIV/0!</v>
      </c>
      <c r="BC36" s="144" t="s">
        <v>1</v>
      </c>
      <c r="BD36" s="306" t="s">
        <v>1016</v>
      </c>
      <c r="BE36" s="44"/>
      <c r="BF36" s="105"/>
    </row>
    <row r="37" spans="2:59" ht="15" customHeight="1" x14ac:dyDescent="0.3">
      <c r="B37" s="189"/>
      <c r="C37" s="301"/>
      <c r="D37" s="189"/>
      <c r="E37" s="189"/>
      <c r="F37" s="302"/>
      <c r="G37" s="97"/>
      <c r="H37" s="301"/>
      <c r="I37" s="189"/>
      <c r="J37" s="189"/>
      <c r="K37" s="301"/>
      <c r="L37" s="189"/>
      <c r="M37" s="303"/>
      <c r="N37" s="189"/>
      <c r="O37" s="189"/>
      <c r="P37" s="303"/>
      <c r="Q37" s="189"/>
      <c r="R37" s="303"/>
      <c r="S37" s="189"/>
      <c r="AA37" s="305" t="s">
        <v>498</v>
      </c>
      <c r="AB37" s="3">
        <v>3</v>
      </c>
      <c r="AG37" s="65">
        <v>5</v>
      </c>
      <c r="AH37" s="66" t="e">
        <f>"da "&amp;ROUND(AT38,1)&amp;" a "&amp;ROUND(AT36,0)&amp;" auto/giorno a 90 kmh"</f>
        <v>#DIV/0!</v>
      </c>
      <c r="AI37" s="45"/>
      <c r="AJ37" s="45"/>
      <c r="AK37" s="46">
        <v>5</v>
      </c>
      <c r="AL37" s="66" t="e">
        <f>"da "&amp;ROUND(AT60,1)&amp;" a "&amp;ROUND(AT58,0)&amp;" auto/giorno a 90 kmh"</f>
        <v>#DIV/0!</v>
      </c>
      <c r="AM37" s="66"/>
      <c r="AN37" s="45"/>
      <c r="AO37" s="45"/>
      <c r="AP37" s="143" t="s">
        <v>13</v>
      </c>
      <c r="AQ37" s="170" t="e">
        <f t="shared" ref="AQ37:AV37" si="18">AQ35/10</f>
        <v>#DIV/0!</v>
      </c>
      <c r="AR37" s="170" t="e">
        <f t="shared" si="18"/>
        <v>#DIV/0!</v>
      </c>
      <c r="AS37" s="170" t="e">
        <f t="shared" si="18"/>
        <v>#DIV/0!</v>
      </c>
      <c r="AT37" s="170" t="e">
        <f t="shared" si="18"/>
        <v>#DIV/0!</v>
      </c>
      <c r="AU37" s="170" t="e">
        <f t="shared" si="18"/>
        <v>#DIV/0!</v>
      </c>
      <c r="AV37" s="170" t="e">
        <f t="shared" si="18"/>
        <v>#DIV/0!</v>
      </c>
      <c r="AW37" s="44"/>
      <c r="AX37" s="144" t="e">
        <f t="shared" si="13"/>
        <v>#DIV/0!</v>
      </c>
      <c r="AY37" s="145" t="e">
        <f t="shared" ref="AY37:AY38" si="19">24/AR37</f>
        <v>#DIV/0!</v>
      </c>
      <c r="AZ37" s="145" t="e">
        <f t="shared" si="17"/>
        <v>#DIV/0!</v>
      </c>
      <c r="BA37" s="145" t="e">
        <f t="shared" si="17"/>
        <v>#DIV/0!</v>
      </c>
      <c r="BB37" s="145" t="e">
        <f t="shared" si="17"/>
        <v>#DIV/0!</v>
      </c>
      <c r="BC37" s="144" t="s">
        <v>1</v>
      </c>
      <c r="BD37" s="44"/>
      <c r="BE37" s="44"/>
      <c r="BF37" s="105"/>
    </row>
    <row r="38" spans="2:59" ht="15" customHeight="1" x14ac:dyDescent="0.3">
      <c r="B38" s="189"/>
      <c r="C38" s="301"/>
      <c r="D38" s="189"/>
      <c r="E38" s="189"/>
      <c r="F38" s="302"/>
      <c r="G38" s="97"/>
      <c r="H38" s="301"/>
      <c r="I38" s="189"/>
      <c r="J38" s="189"/>
      <c r="K38" s="301"/>
      <c r="L38" s="189"/>
      <c r="M38" s="303"/>
      <c r="N38" s="189"/>
      <c r="O38" s="189"/>
      <c r="P38" s="303"/>
      <c r="Q38" s="189"/>
      <c r="R38" s="303"/>
      <c r="S38" s="189"/>
      <c r="AA38" s="307" t="s">
        <v>334</v>
      </c>
      <c r="AB38" s="3">
        <v>4</v>
      </c>
      <c r="AG38" s="65">
        <v>6</v>
      </c>
      <c r="AH38" s="66" t="e">
        <f>"da "&amp;ROUND(AT40,2)&amp;" a "&amp;ROUND(AT38,0)&amp;" auto/giorno a 90 kmh"</f>
        <v>#DIV/0!</v>
      </c>
      <c r="AI38" s="45"/>
      <c r="AJ38" s="45"/>
      <c r="AK38" s="46">
        <v>6</v>
      </c>
      <c r="AL38" s="66" t="e">
        <f>"da "&amp;ROUND(AT62,2)&amp;" a "&amp;ROUND(AT60,0)&amp;" auto/giorno a 90 kmh"</f>
        <v>#DIV/0!</v>
      </c>
      <c r="AM38" s="66"/>
      <c r="AN38" s="45"/>
      <c r="AO38" s="45"/>
      <c r="AP38" s="143" t="s">
        <v>20</v>
      </c>
      <c r="AQ38" s="151" t="e">
        <f>AQ37/5</f>
        <v>#DIV/0!</v>
      </c>
      <c r="AR38" s="151" t="e">
        <f t="shared" ref="AR38:AV38" si="20">AR37/5</f>
        <v>#DIV/0!</v>
      </c>
      <c r="AS38" s="151" t="e">
        <f t="shared" si="20"/>
        <v>#DIV/0!</v>
      </c>
      <c r="AT38" s="151" t="e">
        <f t="shared" si="20"/>
        <v>#DIV/0!</v>
      </c>
      <c r="AU38" s="151" t="e">
        <f t="shared" si="20"/>
        <v>#DIV/0!</v>
      </c>
      <c r="AV38" s="151" t="e">
        <f t="shared" si="20"/>
        <v>#DIV/0!</v>
      </c>
      <c r="AW38" s="44"/>
      <c r="AX38" s="144" t="e">
        <f t="shared" si="13"/>
        <v>#DIV/0!</v>
      </c>
      <c r="AY38" s="144" t="e">
        <f t="shared" si="19"/>
        <v>#DIV/0!</v>
      </c>
      <c r="AZ38" s="144" t="e">
        <f t="shared" si="17"/>
        <v>#DIV/0!</v>
      </c>
      <c r="BA38" s="144" t="e">
        <f t="shared" si="17"/>
        <v>#DIV/0!</v>
      </c>
      <c r="BB38" s="144" t="e">
        <f t="shared" si="17"/>
        <v>#DIV/0!</v>
      </c>
      <c r="BC38" s="144" t="s">
        <v>1</v>
      </c>
      <c r="BD38" s="44"/>
      <c r="BE38" s="44"/>
      <c r="BF38" s="105"/>
    </row>
    <row r="39" spans="2:59" ht="15" customHeight="1" x14ac:dyDescent="0.3">
      <c r="B39" s="189"/>
      <c r="C39" s="301"/>
      <c r="D39" s="189"/>
      <c r="E39" s="189"/>
      <c r="F39" s="302"/>
      <c r="G39" s="97"/>
      <c r="H39" s="301"/>
      <c r="I39" s="189"/>
      <c r="J39" s="189"/>
      <c r="K39" s="301"/>
      <c r="L39" s="189"/>
      <c r="M39" s="303"/>
      <c r="N39" s="189"/>
      <c r="O39" s="189"/>
      <c r="P39" s="303"/>
      <c r="Q39" s="189"/>
      <c r="R39" s="303"/>
      <c r="S39" s="189"/>
      <c r="AA39" s="307" t="s">
        <v>500</v>
      </c>
      <c r="AB39" s="3">
        <v>4</v>
      </c>
      <c r="AG39" s="65">
        <v>7</v>
      </c>
      <c r="AH39" s="66" t="e">
        <f>"da "&amp;ROUND(AT41,2)&amp;" a "&amp;ROUND(AT40,2)&amp;" auto/giorno a 90 kmh"</f>
        <v>#DIV/0!</v>
      </c>
      <c r="AI39" s="45"/>
      <c r="AJ39" s="45"/>
      <c r="AK39" s="46">
        <v>7</v>
      </c>
      <c r="AL39" s="66" t="e">
        <f>"da "&amp;ROUND(AT63,2)&amp;" a "&amp;ROUND(AT62,2)&amp;" auto/giorno a 90 kmh"</f>
        <v>#DIV/0!</v>
      </c>
      <c r="AM39" s="66"/>
      <c r="AN39" s="45"/>
      <c r="AO39" s="45"/>
      <c r="AP39" s="143" t="s">
        <v>14</v>
      </c>
      <c r="AQ39" s="170" t="e">
        <f t="shared" ref="AQ39:AV39" si="21">AQ37/10</f>
        <v>#DIV/0!</v>
      </c>
      <c r="AR39" s="170" t="e">
        <f t="shared" si="21"/>
        <v>#DIV/0!</v>
      </c>
      <c r="AS39" s="170" t="e">
        <f t="shared" si="21"/>
        <v>#DIV/0!</v>
      </c>
      <c r="AT39" s="170" t="e">
        <f t="shared" si="21"/>
        <v>#DIV/0!</v>
      </c>
      <c r="AU39" s="170" t="e">
        <f t="shared" si="21"/>
        <v>#DIV/0!</v>
      </c>
      <c r="AV39" s="170" t="e">
        <f t="shared" si="21"/>
        <v>#DIV/0!</v>
      </c>
      <c r="AW39" s="44"/>
      <c r="AX39" s="144" t="e">
        <f t="shared" si="13"/>
        <v>#DIV/0!</v>
      </c>
      <c r="AY39" s="145" t="e">
        <f>1/AR39</f>
        <v>#DIV/0!</v>
      </c>
      <c r="AZ39" s="145" t="e">
        <f t="shared" ref="AZ39:BB41" si="22">1/AS39</f>
        <v>#DIV/0!</v>
      </c>
      <c r="BA39" s="145" t="e">
        <f t="shared" si="22"/>
        <v>#DIV/0!</v>
      </c>
      <c r="BB39" s="145" t="e">
        <f t="shared" si="22"/>
        <v>#DIV/0!</v>
      </c>
      <c r="BC39" s="144" t="s">
        <v>8</v>
      </c>
      <c r="BD39" s="146" t="s">
        <v>181</v>
      </c>
      <c r="BE39" s="44"/>
      <c r="BF39" s="105"/>
    </row>
    <row r="40" spans="2:59" ht="16.5" customHeight="1" x14ac:dyDescent="0.3">
      <c r="B40" s="189"/>
      <c r="C40" s="301"/>
      <c r="D40" s="189"/>
      <c r="E40" s="189"/>
      <c r="F40" s="302"/>
      <c r="G40" s="97"/>
      <c r="H40" s="301"/>
      <c r="I40" s="189"/>
      <c r="J40" s="189"/>
      <c r="K40" s="301"/>
      <c r="L40" s="189"/>
      <c r="M40" s="303"/>
      <c r="N40" s="189"/>
      <c r="O40" s="189"/>
      <c r="P40" s="303"/>
      <c r="Q40" s="189"/>
      <c r="R40" s="303"/>
      <c r="S40" s="189"/>
      <c r="AA40" s="307" t="s">
        <v>503</v>
      </c>
      <c r="AB40" s="3">
        <v>4</v>
      </c>
      <c r="AG40" s="70"/>
      <c r="AH40" s="45"/>
      <c r="AI40" s="45"/>
      <c r="AJ40" s="45"/>
      <c r="AK40" s="45"/>
      <c r="AL40" s="45"/>
      <c r="AM40" s="45"/>
      <c r="AN40" s="45"/>
      <c r="AO40" s="45"/>
      <c r="AP40" s="143" t="s">
        <v>21</v>
      </c>
      <c r="AQ40" s="151" t="e">
        <f>AQ39/5</f>
        <v>#DIV/0!</v>
      </c>
      <c r="AR40" s="151" t="e">
        <f t="shared" ref="AR40:AV40" si="23">AR39/5</f>
        <v>#DIV/0!</v>
      </c>
      <c r="AS40" s="151" t="e">
        <f t="shared" si="23"/>
        <v>#DIV/0!</v>
      </c>
      <c r="AT40" s="151" t="e">
        <f t="shared" si="23"/>
        <v>#DIV/0!</v>
      </c>
      <c r="AU40" s="151" t="e">
        <f t="shared" si="23"/>
        <v>#DIV/0!</v>
      </c>
      <c r="AV40" s="151" t="e">
        <f t="shared" si="23"/>
        <v>#DIV/0!</v>
      </c>
      <c r="AW40" s="44"/>
      <c r="AX40" s="144" t="e">
        <f t="shared" si="13"/>
        <v>#DIV/0!</v>
      </c>
      <c r="AY40" s="144" t="e">
        <f t="shared" ref="AY40:AY41" si="24">1/AR40</f>
        <v>#DIV/0!</v>
      </c>
      <c r="AZ40" s="144" t="e">
        <f t="shared" si="22"/>
        <v>#DIV/0!</v>
      </c>
      <c r="BA40" s="144" t="e">
        <f t="shared" si="22"/>
        <v>#DIV/0!</v>
      </c>
      <c r="BB40" s="144" t="e">
        <f t="shared" si="22"/>
        <v>#DIV/0!</v>
      </c>
      <c r="BC40" s="144" t="s">
        <v>8</v>
      </c>
      <c r="BD40" s="300" t="s">
        <v>172</v>
      </c>
      <c r="BE40" s="44"/>
      <c r="BF40" s="105"/>
    </row>
    <row r="41" spans="2:59" ht="15" customHeight="1" x14ac:dyDescent="0.3">
      <c r="B41" s="189"/>
      <c r="C41" s="301"/>
      <c r="D41" s="189"/>
      <c r="E41" s="189"/>
      <c r="F41" s="302"/>
      <c r="G41" s="97"/>
      <c r="H41" s="301"/>
      <c r="I41" s="189"/>
      <c r="J41" s="189"/>
      <c r="K41" s="301"/>
      <c r="L41" s="189"/>
      <c r="M41" s="303"/>
      <c r="N41" s="189"/>
      <c r="O41" s="189"/>
      <c r="P41" s="303"/>
      <c r="Q41" s="189"/>
      <c r="R41" s="303"/>
      <c r="S41" s="189"/>
      <c r="AA41" s="307" t="s">
        <v>502</v>
      </c>
      <c r="AB41" s="3">
        <v>4</v>
      </c>
      <c r="AG41" s="65">
        <v>1</v>
      </c>
      <c r="AH41" s="66" t="e">
        <f>"da "&amp;ROUND(AS30,0)&amp;" a "&amp;ROUND(AS29,0)&amp;" auto/giorno a 70 kmh"</f>
        <v>#DIV/0!</v>
      </c>
      <c r="AI41" s="45"/>
      <c r="AJ41" s="45"/>
      <c r="AK41" s="46">
        <v>1</v>
      </c>
      <c r="AL41" s="66" t="e">
        <f>"da "&amp;ROUND(AS52,0)&amp;" a "&amp;ROUND(AS51,0)&amp;" auto/giorno a 70 kmh"</f>
        <v>#DIV/0!</v>
      </c>
      <c r="AM41" s="66"/>
      <c r="AN41" s="45"/>
      <c r="AO41" s="45"/>
      <c r="AP41" s="143" t="s">
        <v>15</v>
      </c>
      <c r="AQ41" s="178" t="e">
        <f t="shared" ref="AQ41:AV41" si="25">AQ39/10</f>
        <v>#DIV/0!</v>
      </c>
      <c r="AR41" s="178" t="e">
        <f t="shared" si="25"/>
        <v>#DIV/0!</v>
      </c>
      <c r="AS41" s="178" t="e">
        <f t="shared" si="25"/>
        <v>#DIV/0!</v>
      </c>
      <c r="AT41" s="178" t="e">
        <f t="shared" si="25"/>
        <v>#DIV/0!</v>
      </c>
      <c r="AU41" s="178" t="e">
        <f t="shared" si="25"/>
        <v>#DIV/0!</v>
      </c>
      <c r="AV41" s="178" t="e">
        <f t="shared" si="25"/>
        <v>#DIV/0!</v>
      </c>
      <c r="AW41" s="44"/>
      <c r="AX41" s="144" t="e">
        <f t="shared" si="13"/>
        <v>#DIV/0!</v>
      </c>
      <c r="AY41" s="144" t="e">
        <f t="shared" si="24"/>
        <v>#DIV/0!</v>
      </c>
      <c r="AZ41" s="144" t="e">
        <f t="shared" si="22"/>
        <v>#DIV/0!</v>
      </c>
      <c r="BA41" s="144" t="e">
        <f t="shared" si="22"/>
        <v>#DIV/0!</v>
      </c>
      <c r="BB41" s="144" t="e">
        <f t="shared" si="22"/>
        <v>#DIV/0!</v>
      </c>
      <c r="BC41" s="144" t="s">
        <v>8</v>
      </c>
      <c r="BD41" s="300" t="s">
        <v>173</v>
      </c>
      <c r="BE41" s="44"/>
      <c r="BF41" s="105"/>
    </row>
    <row r="42" spans="2:59" ht="15" customHeight="1" x14ac:dyDescent="0.3">
      <c r="B42" s="189"/>
      <c r="C42" s="301"/>
      <c r="D42" s="189"/>
      <c r="E42" s="189"/>
      <c r="F42" s="302"/>
      <c r="G42" s="97"/>
      <c r="H42" s="301"/>
      <c r="I42" s="189"/>
      <c r="J42" s="189"/>
      <c r="K42" s="301"/>
      <c r="L42" s="189"/>
      <c r="M42" s="303"/>
      <c r="N42" s="189"/>
      <c r="O42" s="189"/>
      <c r="P42" s="303"/>
      <c r="Q42" s="189"/>
      <c r="R42" s="303"/>
      <c r="S42" s="189"/>
      <c r="AA42" s="308" t="s">
        <v>333</v>
      </c>
      <c r="AB42" s="3">
        <v>5</v>
      </c>
      <c r="AG42" s="65">
        <v>2</v>
      </c>
      <c r="AH42" s="66" t="e">
        <f>"da "&amp;ROUND(AS32,0)&amp;" a "&amp;ROUND(AS30,0)&amp;" auto/giorno a 70 kmh"</f>
        <v>#DIV/0!</v>
      </c>
      <c r="AI42" s="45"/>
      <c r="AJ42" s="45"/>
      <c r="AK42" s="46">
        <v>2</v>
      </c>
      <c r="AL42" s="66" t="e">
        <f>"da "&amp;ROUND(AS54,0)&amp;" a "&amp;ROUND(AS52,0)&amp;" auto/giorno a 70 kmh"</f>
        <v>#DIV/0!</v>
      </c>
      <c r="AM42" s="66"/>
      <c r="AN42" s="45"/>
      <c r="AO42" s="45"/>
      <c r="AP42" s="45"/>
      <c r="AQ42" s="45"/>
      <c r="AR42" s="45"/>
      <c r="AS42" s="45"/>
      <c r="AT42" s="45"/>
      <c r="AU42" s="45"/>
      <c r="AV42" s="45"/>
      <c r="AW42" s="44"/>
      <c r="AX42" s="44"/>
      <c r="AY42" s="44"/>
      <c r="AZ42" s="44"/>
      <c r="BA42" s="44"/>
      <c r="BB42" s="44"/>
      <c r="BC42" s="44"/>
      <c r="BD42" s="300" t="s">
        <v>765</v>
      </c>
      <c r="BE42" s="44"/>
      <c r="BF42" s="105"/>
    </row>
    <row r="43" spans="2:59" ht="24" customHeight="1" thickBot="1" x14ac:dyDescent="0.35">
      <c r="B43" s="189"/>
      <c r="C43" s="301"/>
      <c r="D43" s="189"/>
      <c r="E43" s="189"/>
      <c r="F43" s="302"/>
      <c r="G43" s="97"/>
      <c r="H43" s="301"/>
      <c r="I43" s="189"/>
      <c r="J43" s="189"/>
      <c r="K43" s="301"/>
      <c r="L43" s="189"/>
      <c r="M43" s="303"/>
      <c r="N43" s="189"/>
      <c r="O43" s="189"/>
      <c r="P43" s="303"/>
      <c r="Q43" s="189"/>
      <c r="R43" s="303"/>
      <c r="S43" s="189"/>
      <c r="AA43" s="308" t="s">
        <v>499</v>
      </c>
      <c r="AB43" s="3">
        <v>5</v>
      </c>
      <c r="AG43" s="65">
        <v>3</v>
      </c>
      <c r="AH43" s="66" t="e">
        <f>"da "&amp;ROUND(AS34,0)&amp;" a "&amp;ROUND(AS32,0)&amp;" auto/giorno a 70 kmh"</f>
        <v>#DIV/0!</v>
      </c>
      <c r="AI43" s="45"/>
      <c r="AJ43" s="45"/>
      <c r="AK43" s="46">
        <v>3</v>
      </c>
      <c r="AL43" s="66" t="e">
        <f>"da "&amp;ROUND(AS56,0)&amp;" a "&amp;ROUND(AS54,0)&amp;" auto/giorno a 70 kmh"</f>
        <v>#DIV/0!</v>
      </c>
      <c r="AM43" s="66"/>
      <c r="AN43" s="45"/>
      <c r="AO43" s="45"/>
      <c r="AP43" s="45"/>
      <c r="AQ43" s="111"/>
      <c r="AR43" s="45"/>
      <c r="AS43" s="45"/>
      <c r="AT43" s="45"/>
      <c r="AU43" s="45"/>
      <c r="AV43" s="45"/>
      <c r="AW43" s="44"/>
      <c r="AX43" s="44"/>
      <c r="AY43" s="44"/>
      <c r="AZ43" s="44"/>
      <c r="BA43" s="44"/>
      <c r="BB43" s="44"/>
      <c r="BC43" s="44"/>
      <c r="BD43" s="300" t="s">
        <v>1017</v>
      </c>
      <c r="BE43" s="44"/>
      <c r="BF43" s="105"/>
    </row>
    <row r="44" spans="2:59" ht="24" customHeight="1" thickBot="1" x14ac:dyDescent="0.35">
      <c r="B44" s="189"/>
      <c r="C44" s="301"/>
      <c r="D44" s="189"/>
      <c r="E44" s="189"/>
      <c r="F44" s="302"/>
      <c r="G44" s="97"/>
      <c r="H44" s="301"/>
      <c r="I44" s="189"/>
      <c r="J44" s="189"/>
      <c r="K44" s="301"/>
      <c r="L44" s="189"/>
      <c r="M44" s="303"/>
      <c r="N44" s="189"/>
      <c r="O44" s="189"/>
      <c r="P44" s="303"/>
      <c r="Q44" s="189"/>
      <c r="R44" s="303"/>
      <c r="S44" s="189"/>
      <c r="AA44" s="308" t="s">
        <v>24</v>
      </c>
      <c r="AB44" s="3">
        <v>5</v>
      </c>
      <c r="AG44" s="65">
        <v>4</v>
      </c>
      <c r="AH44" s="66" t="e">
        <f>"da "&amp;ROUND(AS36,0)&amp;" a "&amp;ROUND(AS34,0)&amp;" auto/giorno a 70 kmh"</f>
        <v>#DIV/0!</v>
      </c>
      <c r="AI44" s="45"/>
      <c r="AJ44" s="45"/>
      <c r="AK44" s="46">
        <v>4</v>
      </c>
      <c r="AL44" s="66" t="e">
        <f>"da "&amp;ROUND(AS58,0)&amp;" a "&amp;ROUND(AS56,0)&amp;" auto/giorno a 70 kmh"</f>
        <v>#DIV/0!</v>
      </c>
      <c r="AM44" s="66"/>
      <c r="AN44" s="45"/>
      <c r="AO44" s="115"/>
      <c r="AP44" s="116" t="s">
        <v>1663</v>
      </c>
      <c r="AQ44" s="117">
        <v>1.3</v>
      </c>
      <c r="AR44" s="45"/>
      <c r="AS44" s="45"/>
      <c r="AT44" s="45"/>
      <c r="AU44" s="45"/>
      <c r="AV44" s="45"/>
      <c r="AW44" s="44"/>
      <c r="AX44" s="44"/>
      <c r="AY44" s="44"/>
      <c r="AZ44" s="44"/>
      <c r="BA44" s="44"/>
      <c r="BB44" s="44"/>
      <c r="BC44" s="44"/>
      <c r="BD44" s="300" t="s">
        <v>1018</v>
      </c>
      <c r="BE44" s="44"/>
      <c r="BF44" s="105"/>
    </row>
    <row r="45" spans="2:59" ht="24" customHeight="1" thickBot="1" x14ac:dyDescent="0.35">
      <c r="B45" s="189"/>
      <c r="C45" s="301"/>
      <c r="D45" s="189"/>
      <c r="E45" s="189"/>
      <c r="F45" s="302"/>
      <c r="G45" s="97"/>
      <c r="H45" s="301"/>
      <c r="I45" s="189"/>
      <c r="J45" s="189"/>
      <c r="K45" s="301"/>
      <c r="L45" s="189"/>
      <c r="M45" s="303"/>
      <c r="N45" s="189"/>
      <c r="O45" s="189"/>
      <c r="P45" s="303"/>
      <c r="Q45" s="189"/>
      <c r="R45" s="303"/>
      <c r="S45" s="189"/>
      <c r="AA45" s="309" t="s">
        <v>332</v>
      </c>
      <c r="AB45" s="3">
        <v>6</v>
      </c>
      <c r="AG45" s="65">
        <v>5</v>
      </c>
      <c r="AH45" s="66" t="e">
        <f>"da "&amp;ROUND(AS38,1)&amp;" a "&amp;ROUND(AS36,0)&amp;" auto/giorno a 70 kmh"</f>
        <v>#DIV/0!</v>
      </c>
      <c r="AI45" s="45"/>
      <c r="AJ45" s="45"/>
      <c r="AK45" s="46">
        <v>5</v>
      </c>
      <c r="AL45" s="66" t="e">
        <f>"da "&amp;ROUND(AS60,1)&amp;" a "&amp;ROUND(AS58,0)&amp;" auto/giorno a 70 kmh"</f>
        <v>#DIV/0!</v>
      </c>
      <c r="AM45" s="66"/>
      <c r="AN45" s="45"/>
      <c r="AO45" s="45"/>
      <c r="AP45" s="57" t="s">
        <v>184</v>
      </c>
      <c r="AQ45" s="46">
        <v>30</v>
      </c>
      <c r="AR45" s="46">
        <v>50</v>
      </c>
      <c r="AS45" s="46">
        <v>70</v>
      </c>
      <c r="AT45" s="46">
        <v>90</v>
      </c>
      <c r="AU45" s="46">
        <v>110</v>
      </c>
      <c r="AV45" s="46">
        <f>AV23</f>
        <v>60</v>
      </c>
      <c r="AW45" s="44"/>
      <c r="AX45" s="44"/>
      <c r="AY45" s="44"/>
      <c r="AZ45" s="44"/>
      <c r="BA45" s="44"/>
      <c r="BB45" s="44"/>
      <c r="BC45" s="44"/>
      <c r="BD45" s="300" t="s">
        <v>1019</v>
      </c>
      <c r="BE45" s="44"/>
      <c r="BF45" s="105"/>
    </row>
    <row r="46" spans="2:59" ht="15" customHeight="1" x14ac:dyDescent="0.3">
      <c r="B46" s="189"/>
      <c r="C46" s="301"/>
      <c r="D46" s="189"/>
      <c r="E46" s="189"/>
      <c r="F46" s="302"/>
      <c r="G46" s="97"/>
      <c r="H46" s="301"/>
      <c r="I46" s="189"/>
      <c r="J46" s="189"/>
      <c r="K46" s="301"/>
      <c r="L46" s="189"/>
      <c r="M46" s="303"/>
      <c r="N46" s="189"/>
      <c r="O46" s="189"/>
      <c r="P46" s="303"/>
      <c r="Q46" s="189"/>
      <c r="R46" s="303"/>
      <c r="S46" s="189"/>
      <c r="AG46" s="65">
        <v>6</v>
      </c>
      <c r="AH46" s="66" t="e">
        <f>"da "&amp;ROUND(AS40,2)&amp;" a "&amp;ROUND(AS38,0)&amp;" auto/giorno a 70 kmh"</f>
        <v>#DIV/0!</v>
      </c>
      <c r="AI46" s="45"/>
      <c r="AJ46" s="45"/>
      <c r="AK46" s="46">
        <v>6</v>
      </c>
      <c r="AL46" s="66" t="e">
        <f>"da "&amp;ROUND(AS62,2)&amp;" a "&amp;ROUND(AS60,0)&amp;" auto/giorno a 70 kmh"</f>
        <v>#DIV/0!</v>
      </c>
      <c r="AM46" s="66"/>
      <c r="AN46" s="45"/>
      <c r="AO46" s="45"/>
      <c r="AP46" s="57" t="s">
        <v>185</v>
      </c>
      <c r="AQ46" s="193">
        <f t="shared" ref="AQ46:AV46" si="26">AQ45*1000/3600</f>
        <v>8.3333333333333339</v>
      </c>
      <c r="AR46" s="193">
        <f t="shared" si="26"/>
        <v>13.888888888888889</v>
      </c>
      <c r="AS46" s="193">
        <f t="shared" si="26"/>
        <v>19.444444444444443</v>
      </c>
      <c r="AT46" s="193">
        <f t="shared" si="26"/>
        <v>25</v>
      </c>
      <c r="AU46" s="193">
        <f t="shared" si="26"/>
        <v>30.555555555555557</v>
      </c>
      <c r="AV46" s="193">
        <f t="shared" si="26"/>
        <v>16.666666666666668</v>
      </c>
      <c r="AW46" s="44"/>
      <c r="AX46" s="44"/>
      <c r="AY46" s="44"/>
      <c r="AZ46" s="44"/>
      <c r="BA46" s="44"/>
      <c r="BB46" s="44"/>
      <c r="BC46" s="44"/>
      <c r="BD46" s="306" t="s">
        <v>1020</v>
      </c>
      <c r="BE46" s="44"/>
      <c r="BF46" s="105"/>
      <c r="BG46" s="60"/>
    </row>
    <row r="47" spans="2:59" ht="15" customHeight="1" x14ac:dyDescent="0.3">
      <c r="B47" s="189"/>
      <c r="C47" s="301"/>
      <c r="D47" s="189"/>
      <c r="E47" s="189"/>
      <c r="F47" s="302"/>
      <c r="G47" s="97"/>
      <c r="H47" s="301"/>
      <c r="I47" s="189"/>
      <c r="J47" s="189"/>
      <c r="K47" s="301"/>
      <c r="L47" s="189"/>
      <c r="M47" s="303"/>
      <c r="N47" s="189"/>
      <c r="O47" s="189"/>
      <c r="P47" s="303"/>
      <c r="Q47" s="189"/>
      <c r="R47" s="303"/>
      <c r="S47" s="189"/>
      <c r="AG47" s="65">
        <v>7</v>
      </c>
      <c r="AH47" s="66" t="e">
        <f>"da "&amp;ROUND(AS41,2)&amp;" a "&amp;ROUND(AS40,2)&amp;" auto/giorno a 70 kmh"</f>
        <v>#DIV/0!</v>
      </c>
      <c r="AI47" s="45"/>
      <c r="AJ47" s="45"/>
      <c r="AK47" s="46">
        <v>7</v>
      </c>
      <c r="AL47" s="66" t="e">
        <f>"da "&amp;ROUND(AS63,2)&amp;" a "&amp;ROUND(AS62,2)&amp;" auto/giorno a 70 kmh"</f>
        <v>#DIV/0!</v>
      </c>
      <c r="AM47" s="66"/>
      <c r="AN47" s="45"/>
      <c r="AO47" s="125"/>
      <c r="AP47" s="126" t="s">
        <v>183</v>
      </c>
      <c r="AQ47" s="193">
        <f t="shared" ref="AQ47:AV47" si="27">AQ46^2/(2*9.8*0.5)</f>
        <v>7.0861678004535156</v>
      </c>
      <c r="AR47" s="193">
        <f t="shared" si="27"/>
        <v>19.683799445704206</v>
      </c>
      <c r="AS47" s="193">
        <f t="shared" si="27"/>
        <v>38.58024691358024</v>
      </c>
      <c r="AT47" s="193">
        <f t="shared" si="27"/>
        <v>63.775510204081627</v>
      </c>
      <c r="AU47" s="193">
        <f t="shared" si="27"/>
        <v>95.269589317208357</v>
      </c>
      <c r="AV47" s="193">
        <f t="shared" si="27"/>
        <v>28.344671201814062</v>
      </c>
      <c r="AW47" s="44"/>
      <c r="AX47" s="44"/>
      <c r="AY47" s="44"/>
      <c r="AZ47" s="44"/>
      <c r="BA47" s="44"/>
      <c r="BB47" s="44"/>
      <c r="BC47" s="44"/>
      <c r="BD47" s="44"/>
      <c r="BE47" s="44"/>
      <c r="BF47" s="105"/>
      <c r="BG47" s="60"/>
    </row>
    <row r="48" spans="2:59" ht="6" customHeight="1" x14ac:dyDescent="0.3">
      <c r="B48" s="189"/>
      <c r="C48" s="301"/>
      <c r="D48" s="189"/>
      <c r="E48" s="189"/>
      <c r="F48" s="302"/>
      <c r="G48" s="97"/>
      <c r="H48" s="301"/>
      <c r="I48" s="189"/>
      <c r="J48" s="189"/>
      <c r="K48" s="301"/>
      <c r="L48" s="189"/>
      <c r="M48" s="303"/>
      <c r="N48" s="189"/>
      <c r="O48" s="189"/>
      <c r="P48" s="303"/>
      <c r="Q48" s="189"/>
      <c r="R48" s="303"/>
      <c r="S48" s="189"/>
      <c r="AG48" s="65"/>
      <c r="AH48" s="66"/>
      <c r="AI48" s="45"/>
      <c r="AJ48" s="45"/>
      <c r="AK48" s="46"/>
      <c r="AL48" s="66"/>
      <c r="AM48" s="66"/>
      <c r="AN48" s="45"/>
      <c r="AO48" s="129"/>
      <c r="AP48" s="130" t="s">
        <v>1694</v>
      </c>
      <c r="AQ48" s="122">
        <f t="shared" ref="AQ48:AV48" si="28">AQ47/AQ46</f>
        <v>0.85034013605442182</v>
      </c>
      <c r="AR48" s="122">
        <f t="shared" si="28"/>
        <v>1.4172335600907029</v>
      </c>
      <c r="AS48" s="122">
        <f t="shared" si="28"/>
        <v>1.984126984126984</v>
      </c>
      <c r="AT48" s="122">
        <f t="shared" si="28"/>
        <v>2.5510204081632653</v>
      </c>
      <c r="AU48" s="122">
        <f t="shared" si="28"/>
        <v>3.1179138321995459</v>
      </c>
      <c r="AV48" s="122">
        <f t="shared" si="28"/>
        <v>1.7006802721088436</v>
      </c>
      <c r="AW48" s="44"/>
      <c r="AX48" s="44"/>
      <c r="AY48" s="44"/>
      <c r="AZ48" s="44"/>
      <c r="BA48" s="44"/>
      <c r="BB48" s="44"/>
      <c r="BC48" s="44"/>
      <c r="BD48" s="44"/>
      <c r="BE48" s="44"/>
      <c r="BF48" s="105"/>
    </row>
    <row r="49" spans="2:58" ht="15" customHeight="1" x14ac:dyDescent="0.3">
      <c r="B49" s="189"/>
      <c r="C49" s="301"/>
      <c r="D49" s="189"/>
      <c r="E49" s="189"/>
      <c r="F49" s="302"/>
      <c r="G49" s="97"/>
      <c r="H49" s="301"/>
      <c r="I49" s="189"/>
      <c r="J49" s="189"/>
      <c r="K49" s="301"/>
      <c r="L49" s="189"/>
      <c r="M49" s="303"/>
      <c r="N49" s="189"/>
      <c r="O49" s="189"/>
      <c r="P49" s="303"/>
      <c r="Q49" s="189"/>
      <c r="R49" s="303"/>
      <c r="S49" s="189"/>
      <c r="AG49" s="65">
        <v>1</v>
      </c>
      <c r="AH49" s="66" t="e">
        <f>"da "&amp;ROUND(AR30,0)&amp;" a "&amp;ROUND(AR29,0)&amp;" auto/giorno a 50 kmh"</f>
        <v>#DIV/0!</v>
      </c>
      <c r="AI49" s="45"/>
      <c r="AJ49" s="45"/>
      <c r="AK49" s="46">
        <v>1</v>
      </c>
      <c r="AL49" s="66" t="e">
        <f>"da "&amp;ROUND(AR52,0)&amp;" a "&amp;ROUND(AR51,0)&amp;" auto/giorno a 50 kmh"</f>
        <v>#DIV/0!</v>
      </c>
      <c r="AM49" s="66"/>
      <c r="AN49" s="45"/>
      <c r="AO49" s="45"/>
      <c r="AP49" s="57" t="s">
        <v>175</v>
      </c>
      <c r="AQ49" s="46">
        <f>$O$9*1.25</f>
        <v>0</v>
      </c>
      <c r="AR49" s="46">
        <f t="shared" ref="AR49:AV49" si="29">$O$9*1.25</f>
        <v>0</v>
      </c>
      <c r="AS49" s="46">
        <f t="shared" si="29"/>
        <v>0</v>
      </c>
      <c r="AT49" s="46">
        <f t="shared" si="29"/>
        <v>0</v>
      </c>
      <c r="AU49" s="46">
        <f t="shared" si="29"/>
        <v>0</v>
      </c>
      <c r="AV49" s="46">
        <f t="shared" si="29"/>
        <v>0</v>
      </c>
      <c r="AW49" s="44"/>
      <c r="AX49" s="44"/>
      <c r="AY49" s="44"/>
      <c r="AZ49" s="44"/>
      <c r="BA49" s="44"/>
      <c r="BB49" s="44"/>
      <c r="BC49" s="44"/>
      <c r="BD49" s="44"/>
      <c r="BE49" s="44"/>
      <c r="BF49" s="105"/>
    </row>
    <row r="50" spans="2:58" ht="15" customHeight="1" x14ac:dyDescent="0.3">
      <c r="B50" s="189"/>
      <c r="C50" s="301"/>
      <c r="D50" s="189"/>
      <c r="E50" s="189"/>
      <c r="F50" s="302"/>
      <c r="G50" s="97"/>
      <c r="H50" s="301"/>
      <c r="I50" s="189"/>
      <c r="J50" s="189"/>
      <c r="K50" s="301"/>
      <c r="L50" s="189"/>
      <c r="M50" s="303"/>
      <c r="N50" s="189"/>
      <c r="O50" s="189"/>
      <c r="P50" s="303"/>
      <c r="Q50" s="189"/>
      <c r="R50" s="303"/>
      <c r="S50" s="189"/>
      <c r="AG50" s="65">
        <v>2</v>
      </c>
      <c r="AH50" s="66" t="e">
        <f>"da "&amp;ROUND(AR32,0)&amp;" a "&amp;ROUND(AR30,0)&amp;" auto/giorno a 50 kmh"</f>
        <v>#DIV/0!</v>
      </c>
      <c r="AI50" s="45"/>
      <c r="AJ50" s="45"/>
      <c r="AK50" s="46">
        <v>2</v>
      </c>
      <c r="AL50" s="66" t="e">
        <f>"da "&amp;ROUND(AR54,0)&amp;" a "&amp;ROUND(AR52,0)&amp;" auto/giorno a 50 kmh"</f>
        <v>#DIV/0!</v>
      </c>
      <c r="AM50" s="66"/>
      <c r="AN50" s="45"/>
      <c r="AO50" s="45"/>
      <c r="AP50" s="57" t="s">
        <v>1693</v>
      </c>
      <c r="AQ50" s="122">
        <f t="shared" ref="AQ50:AV50" si="30">AQ49/AQ46</f>
        <v>0</v>
      </c>
      <c r="AR50" s="122">
        <f t="shared" si="30"/>
        <v>0</v>
      </c>
      <c r="AS50" s="122">
        <f t="shared" si="30"/>
        <v>0</v>
      </c>
      <c r="AT50" s="122">
        <f t="shared" si="30"/>
        <v>0</v>
      </c>
      <c r="AU50" s="122">
        <f t="shared" si="30"/>
        <v>0</v>
      </c>
      <c r="AV50" s="122">
        <f t="shared" si="30"/>
        <v>0</v>
      </c>
      <c r="AW50" s="44"/>
      <c r="AX50" s="44"/>
      <c r="AY50" s="44"/>
      <c r="AZ50" s="44"/>
      <c r="BA50" s="44"/>
      <c r="BB50" s="44"/>
      <c r="BC50" s="44"/>
      <c r="BD50" s="44"/>
      <c r="BE50" s="44"/>
      <c r="BF50" s="105"/>
    </row>
    <row r="51" spans="2:58" ht="15" customHeight="1" x14ac:dyDescent="0.3">
      <c r="B51" s="189"/>
      <c r="C51" s="301"/>
      <c r="D51" s="189"/>
      <c r="E51" s="189"/>
      <c r="F51" s="302"/>
      <c r="G51" s="97"/>
      <c r="H51" s="301"/>
      <c r="I51" s="189"/>
      <c r="J51" s="189"/>
      <c r="K51" s="301"/>
      <c r="L51" s="189"/>
      <c r="M51" s="303"/>
      <c r="N51" s="189"/>
      <c r="O51" s="189"/>
      <c r="P51" s="303"/>
      <c r="Q51" s="189"/>
      <c r="R51" s="303"/>
      <c r="S51" s="189"/>
      <c r="AG51" s="65">
        <v>3</v>
      </c>
      <c r="AH51" s="66" t="e">
        <f>"da "&amp;ROUND(AR34,0)&amp;" a "&amp;ROUND(AR32,0)&amp;" auto/giorno a 50 kmh"</f>
        <v>#DIV/0!</v>
      </c>
      <c r="AI51" s="45"/>
      <c r="AJ51" s="45"/>
      <c r="AK51" s="46">
        <v>3</v>
      </c>
      <c r="AL51" s="66" t="e">
        <f>"da "&amp;ROUND(AR56,0)&amp;" a "&amp;ROUND(AR54,0)&amp;" auto/giorno a 50 kmh"</f>
        <v>#DIV/0!</v>
      </c>
      <c r="AM51" s="66"/>
      <c r="AN51" s="45"/>
      <c r="AO51" s="45"/>
      <c r="AP51" s="72" t="s">
        <v>9</v>
      </c>
      <c r="AQ51" s="144" t="e">
        <f>MIN(86400/AQ48,86400/AQ50)/$AQ$44</f>
        <v>#DIV/0!</v>
      </c>
      <c r="AR51" s="144" t="e">
        <f t="shared" ref="AR51:AV51" si="31">MIN(86400/AR48,86400/AR50)/$AQ$44</f>
        <v>#DIV/0!</v>
      </c>
      <c r="AS51" s="144" t="e">
        <f t="shared" si="31"/>
        <v>#DIV/0!</v>
      </c>
      <c r="AT51" s="144" t="e">
        <f t="shared" si="31"/>
        <v>#DIV/0!</v>
      </c>
      <c r="AU51" s="144" t="e">
        <f t="shared" si="31"/>
        <v>#DIV/0!</v>
      </c>
      <c r="AV51" s="144" t="e">
        <f t="shared" si="31"/>
        <v>#DIV/0!</v>
      </c>
      <c r="AW51" s="44"/>
      <c r="AX51" s="44"/>
      <c r="AY51" s="44"/>
      <c r="AZ51" s="44"/>
      <c r="BA51" s="44"/>
      <c r="BB51" s="44"/>
      <c r="BC51" s="44"/>
      <c r="BD51" s="44"/>
      <c r="BE51" s="44"/>
      <c r="BF51" s="105"/>
    </row>
    <row r="52" spans="2:58" ht="15" customHeight="1" x14ac:dyDescent="0.3">
      <c r="B52" s="189"/>
      <c r="C52" s="301"/>
      <c r="D52" s="189"/>
      <c r="E52" s="189"/>
      <c r="F52" s="302"/>
      <c r="G52" s="97"/>
      <c r="H52" s="301"/>
      <c r="I52" s="189"/>
      <c r="J52" s="189"/>
      <c r="K52" s="301"/>
      <c r="L52" s="189"/>
      <c r="M52" s="303"/>
      <c r="N52" s="189"/>
      <c r="O52" s="189"/>
      <c r="P52" s="303"/>
      <c r="Q52" s="189"/>
      <c r="R52" s="303"/>
      <c r="S52" s="189"/>
      <c r="AG52" s="65">
        <v>4</v>
      </c>
      <c r="AH52" s="66" t="e">
        <f>"da "&amp;ROUND(AR36,0)&amp;" a "&amp;ROUND(AR34,0)&amp;" auto/giorno a 50 kmh"</f>
        <v>#DIV/0!</v>
      </c>
      <c r="AI52" s="45"/>
      <c r="AJ52" s="45"/>
      <c r="AK52" s="46">
        <v>4</v>
      </c>
      <c r="AL52" s="66" t="e">
        <f>"da "&amp;ROUND(AR58,0)&amp;" a "&amp;ROUND(AR56,0)&amp;" auto/giorno a 50 kmh"</f>
        <v>#DIV/0!</v>
      </c>
      <c r="AM52" s="66"/>
      <c r="AN52" s="45"/>
      <c r="AO52" s="45"/>
      <c r="AP52" s="72" t="s">
        <v>16</v>
      </c>
      <c r="AQ52" s="151" t="e">
        <f t="shared" ref="AQ52:AV52" si="32">AQ51/5</f>
        <v>#DIV/0!</v>
      </c>
      <c r="AR52" s="151" t="e">
        <f t="shared" si="32"/>
        <v>#DIV/0!</v>
      </c>
      <c r="AS52" s="151" t="e">
        <f t="shared" si="32"/>
        <v>#DIV/0!</v>
      </c>
      <c r="AT52" s="151" t="e">
        <f t="shared" si="32"/>
        <v>#DIV/0!</v>
      </c>
      <c r="AU52" s="151" t="e">
        <f t="shared" si="32"/>
        <v>#DIV/0!</v>
      </c>
      <c r="AV52" s="151" t="e">
        <f t="shared" si="32"/>
        <v>#DIV/0!</v>
      </c>
      <c r="AW52" s="44"/>
      <c r="AX52" s="44"/>
      <c r="AY52" s="44"/>
      <c r="AZ52" s="44"/>
      <c r="BA52" s="44"/>
      <c r="BB52" s="44"/>
      <c r="BC52" s="44"/>
      <c r="BD52" s="44"/>
      <c r="BE52" s="44"/>
      <c r="BF52" s="105"/>
    </row>
    <row r="53" spans="2:58" ht="15" customHeight="1" x14ac:dyDescent="0.3">
      <c r="B53" s="189"/>
      <c r="C53" s="301"/>
      <c r="D53" s="189"/>
      <c r="E53" s="189"/>
      <c r="F53" s="302"/>
      <c r="G53" s="97"/>
      <c r="H53" s="301"/>
      <c r="I53" s="189"/>
      <c r="J53" s="189"/>
      <c r="K53" s="301"/>
      <c r="L53" s="189"/>
      <c r="M53" s="303"/>
      <c r="N53" s="189"/>
      <c r="O53" s="189"/>
      <c r="P53" s="303"/>
      <c r="Q53" s="189"/>
      <c r="R53" s="303"/>
      <c r="S53" s="189"/>
      <c r="AG53" s="65">
        <v>5</v>
      </c>
      <c r="AH53" s="66" t="e">
        <f>"da "&amp;ROUND(AR38,1)&amp;" a "&amp;ROUND(AR36,0)&amp;" auto/giorno a 50 kmh"</f>
        <v>#DIV/0!</v>
      </c>
      <c r="AI53" s="45"/>
      <c r="AJ53" s="45"/>
      <c r="AK53" s="46">
        <v>5</v>
      </c>
      <c r="AL53" s="66" t="e">
        <f>"da "&amp;ROUND(AR60,1)&amp;" a "&amp;ROUND(AR58,0)&amp;" auto/giorno a 50 kmh"</f>
        <v>#DIV/0!</v>
      </c>
      <c r="AM53" s="66"/>
      <c r="AN53" s="45"/>
      <c r="AO53" s="45"/>
      <c r="AP53" s="72" t="s">
        <v>10</v>
      </c>
      <c r="AQ53" s="151" t="e">
        <f t="shared" ref="AQ53:AV53" si="33">AQ51/10</f>
        <v>#DIV/0!</v>
      </c>
      <c r="AR53" s="151" t="e">
        <f t="shared" si="33"/>
        <v>#DIV/0!</v>
      </c>
      <c r="AS53" s="151" t="e">
        <f t="shared" si="33"/>
        <v>#DIV/0!</v>
      </c>
      <c r="AT53" s="151" t="e">
        <f t="shared" si="33"/>
        <v>#DIV/0!</v>
      </c>
      <c r="AU53" s="151" t="e">
        <f t="shared" si="33"/>
        <v>#DIV/0!</v>
      </c>
      <c r="AV53" s="151" t="e">
        <f t="shared" si="33"/>
        <v>#DIV/0!</v>
      </c>
      <c r="AW53" s="44"/>
      <c r="AX53" s="44"/>
      <c r="AY53" s="44"/>
      <c r="AZ53" s="44"/>
      <c r="BA53" s="44"/>
      <c r="BB53" s="44"/>
      <c r="BC53" s="44"/>
      <c r="BD53" s="44"/>
      <c r="BE53" s="44"/>
      <c r="BF53" s="105"/>
    </row>
    <row r="54" spans="2:58" ht="15" customHeight="1" x14ac:dyDescent="0.3">
      <c r="B54" s="189"/>
      <c r="C54" s="301"/>
      <c r="D54" s="189"/>
      <c r="E54" s="189"/>
      <c r="F54" s="302"/>
      <c r="G54" s="97"/>
      <c r="H54" s="301"/>
      <c r="I54" s="189"/>
      <c r="J54" s="189"/>
      <c r="K54" s="301"/>
      <c r="L54" s="189"/>
      <c r="M54" s="303"/>
      <c r="N54" s="189"/>
      <c r="O54" s="189"/>
      <c r="P54" s="303"/>
      <c r="Q54" s="189"/>
      <c r="R54" s="303"/>
      <c r="S54" s="189"/>
      <c r="AG54" s="65">
        <v>6</v>
      </c>
      <c r="AH54" s="66" t="e">
        <f>"da "&amp;ROUND(AR40,2)&amp;" a "&amp;ROUND(AR38,0)&amp;" auto/giorno a 50 kmh"</f>
        <v>#DIV/0!</v>
      </c>
      <c r="AI54" s="45"/>
      <c r="AJ54" s="45"/>
      <c r="AK54" s="46">
        <v>6</v>
      </c>
      <c r="AL54" s="66" t="e">
        <f>"da "&amp;ROUND(AR62,2)&amp;" a "&amp;ROUND(AR60,0)&amp;" auto/giorno a 50 kmh"</f>
        <v>#DIV/0!</v>
      </c>
      <c r="AM54" s="66"/>
      <c r="AN54" s="45"/>
      <c r="AO54" s="45"/>
      <c r="AP54" s="72" t="s">
        <v>17</v>
      </c>
      <c r="AQ54" s="151" t="e">
        <f>AQ53/5</f>
        <v>#DIV/0!</v>
      </c>
      <c r="AR54" s="151" t="e">
        <f t="shared" ref="AR54:AV54" si="34">AR53/5</f>
        <v>#DIV/0!</v>
      </c>
      <c r="AS54" s="151" t="e">
        <f t="shared" si="34"/>
        <v>#DIV/0!</v>
      </c>
      <c r="AT54" s="151" t="e">
        <f t="shared" si="34"/>
        <v>#DIV/0!</v>
      </c>
      <c r="AU54" s="151" t="e">
        <f t="shared" si="34"/>
        <v>#DIV/0!</v>
      </c>
      <c r="AV54" s="151" t="e">
        <f t="shared" si="34"/>
        <v>#DIV/0!</v>
      </c>
      <c r="AW54" s="44"/>
      <c r="AX54" s="44"/>
      <c r="AY54" s="44"/>
      <c r="AZ54" s="44"/>
      <c r="BA54" s="44"/>
      <c r="BB54" s="44"/>
      <c r="BC54" s="44"/>
      <c r="BD54" s="44"/>
      <c r="BE54" s="44"/>
      <c r="BF54" s="105"/>
    </row>
    <row r="55" spans="2:58" ht="15" customHeight="1" x14ac:dyDescent="0.3">
      <c r="B55" s="189"/>
      <c r="C55" s="301"/>
      <c r="D55" s="189"/>
      <c r="E55" s="189"/>
      <c r="F55" s="302"/>
      <c r="G55" s="97"/>
      <c r="H55" s="301"/>
      <c r="I55" s="189"/>
      <c r="J55" s="189"/>
      <c r="K55" s="301"/>
      <c r="L55" s="189"/>
      <c r="M55" s="303"/>
      <c r="N55" s="189"/>
      <c r="O55" s="189"/>
      <c r="P55" s="303"/>
      <c r="Q55" s="189"/>
      <c r="R55" s="303"/>
      <c r="S55" s="189"/>
      <c r="AG55" s="65">
        <v>7</v>
      </c>
      <c r="AH55" s="66" t="e">
        <f>"da "&amp;ROUND(AR41,2)&amp;" a "&amp;ROUND(AR40,2)&amp;" auto/giorno a 50 kmh"</f>
        <v>#DIV/0!</v>
      </c>
      <c r="AI55" s="45"/>
      <c r="AJ55" s="45"/>
      <c r="AK55" s="46">
        <v>7</v>
      </c>
      <c r="AL55" s="66" t="e">
        <f>"da "&amp;ROUND(AR63,2)&amp;" a "&amp;ROUND(AR62,2)&amp;" auto/giorno a 50 kmh"</f>
        <v>#DIV/0!</v>
      </c>
      <c r="AM55" s="66"/>
      <c r="AN55" s="45"/>
      <c r="AO55" s="45"/>
      <c r="AP55" s="72" t="s">
        <v>11</v>
      </c>
      <c r="AQ55" s="163" t="e">
        <f t="shared" ref="AQ55:AV55" si="35">AQ53/10</f>
        <v>#DIV/0!</v>
      </c>
      <c r="AR55" s="163" t="e">
        <f t="shared" si="35"/>
        <v>#DIV/0!</v>
      </c>
      <c r="AS55" s="163" t="e">
        <f t="shared" si="35"/>
        <v>#DIV/0!</v>
      </c>
      <c r="AT55" s="163" t="e">
        <f t="shared" si="35"/>
        <v>#DIV/0!</v>
      </c>
      <c r="AU55" s="163" t="e">
        <f t="shared" si="35"/>
        <v>#DIV/0!</v>
      </c>
      <c r="AV55" s="163" t="e">
        <f t="shared" si="35"/>
        <v>#DIV/0!</v>
      </c>
      <c r="AW55" s="44"/>
      <c r="AX55" s="44"/>
      <c r="AY55" s="44"/>
      <c r="AZ55" s="44"/>
      <c r="BA55" s="44"/>
      <c r="BB55" s="44"/>
      <c r="BC55" s="44"/>
      <c r="BD55" s="44"/>
      <c r="BE55" s="44"/>
      <c r="BF55" s="105"/>
    </row>
    <row r="56" spans="2:58" ht="15" customHeight="1" x14ac:dyDescent="0.3">
      <c r="B56" s="189"/>
      <c r="C56" s="301"/>
      <c r="D56" s="189"/>
      <c r="E56" s="189"/>
      <c r="F56" s="302"/>
      <c r="G56" s="97"/>
      <c r="H56" s="301"/>
      <c r="I56" s="189"/>
      <c r="J56" s="189"/>
      <c r="K56" s="301"/>
      <c r="L56" s="189"/>
      <c r="M56" s="303"/>
      <c r="N56" s="189"/>
      <c r="O56" s="189"/>
      <c r="P56" s="303"/>
      <c r="Q56" s="189"/>
      <c r="R56" s="303"/>
      <c r="S56" s="189"/>
      <c r="AG56" s="65"/>
      <c r="AH56" s="66"/>
      <c r="AI56" s="45"/>
      <c r="AJ56" s="45"/>
      <c r="AK56" s="46"/>
      <c r="AL56" s="66"/>
      <c r="AM56" s="66"/>
      <c r="AN56" s="45"/>
      <c r="AO56" s="45"/>
      <c r="AP56" s="72" t="s">
        <v>18</v>
      </c>
      <c r="AQ56" s="151" t="e">
        <f>AQ55/5</f>
        <v>#DIV/0!</v>
      </c>
      <c r="AR56" s="151" t="e">
        <f t="shared" ref="AR56:AV56" si="36">AR55/5</f>
        <v>#DIV/0!</v>
      </c>
      <c r="AS56" s="151" t="e">
        <f t="shared" si="36"/>
        <v>#DIV/0!</v>
      </c>
      <c r="AT56" s="151" t="e">
        <f t="shared" si="36"/>
        <v>#DIV/0!</v>
      </c>
      <c r="AU56" s="151" t="e">
        <f t="shared" si="36"/>
        <v>#DIV/0!</v>
      </c>
      <c r="AV56" s="151" t="e">
        <f t="shared" si="36"/>
        <v>#DIV/0!</v>
      </c>
      <c r="AW56" s="44"/>
      <c r="AX56" s="44"/>
      <c r="AY56" s="44"/>
      <c r="AZ56" s="44"/>
      <c r="BA56" s="44"/>
      <c r="BB56" s="44"/>
      <c r="BC56" s="44"/>
      <c r="BD56" s="44"/>
      <c r="BE56" s="44"/>
      <c r="BF56" s="105"/>
    </row>
    <row r="57" spans="2:58" ht="15" customHeight="1" x14ac:dyDescent="0.3">
      <c r="B57" s="189"/>
      <c r="C57" s="301"/>
      <c r="D57" s="189"/>
      <c r="E57" s="189"/>
      <c r="F57" s="302"/>
      <c r="G57" s="97"/>
      <c r="H57" s="301"/>
      <c r="I57" s="189"/>
      <c r="J57" s="189"/>
      <c r="K57" s="301"/>
      <c r="L57" s="189"/>
      <c r="M57" s="303"/>
      <c r="N57" s="189"/>
      <c r="O57" s="189"/>
      <c r="P57" s="303"/>
      <c r="Q57" s="189"/>
      <c r="R57" s="303"/>
      <c r="S57" s="189"/>
      <c r="AG57" s="65">
        <v>1</v>
      </c>
      <c r="AH57" s="66" t="e">
        <f>"da "&amp;ROUND(AQ30,0)&amp;" a "&amp;ROUND(AQ29,0)&amp;" auto/giorno a 30 kmh"</f>
        <v>#DIV/0!</v>
      </c>
      <c r="AI57" s="45"/>
      <c r="AJ57" s="45"/>
      <c r="AK57" s="46">
        <v>1</v>
      </c>
      <c r="AL57" s="66" t="e">
        <f>"da "&amp;ROUND(AQ52,0)&amp;" a "&amp;ROUND(AQ51,0)&amp;" auto/giorno a 30 kmh"</f>
        <v>#DIV/0!</v>
      </c>
      <c r="AM57" s="66"/>
      <c r="AN57" s="45"/>
      <c r="AO57" s="45"/>
      <c r="AP57" s="72" t="s">
        <v>12</v>
      </c>
      <c r="AQ57" s="170" t="e">
        <f t="shared" ref="AQ57:AV57" si="37">AQ55/10</f>
        <v>#DIV/0!</v>
      </c>
      <c r="AR57" s="170" t="e">
        <f t="shared" si="37"/>
        <v>#DIV/0!</v>
      </c>
      <c r="AS57" s="170" t="e">
        <f t="shared" si="37"/>
        <v>#DIV/0!</v>
      </c>
      <c r="AT57" s="170" t="e">
        <f t="shared" si="37"/>
        <v>#DIV/0!</v>
      </c>
      <c r="AU57" s="170" t="e">
        <f t="shared" si="37"/>
        <v>#DIV/0!</v>
      </c>
      <c r="AV57" s="170" t="e">
        <f t="shared" si="37"/>
        <v>#DIV/0!</v>
      </c>
      <c r="AW57" s="44"/>
      <c r="AX57" s="44"/>
      <c r="AY57" s="44"/>
      <c r="AZ57" s="44"/>
      <c r="BA57" s="44"/>
      <c r="BB57" s="44"/>
      <c r="BC57" s="44"/>
      <c r="BD57" s="44"/>
      <c r="BE57" s="44"/>
      <c r="BF57" s="105"/>
    </row>
    <row r="58" spans="2:58" ht="6" customHeight="1" x14ac:dyDescent="0.3">
      <c r="B58" s="189"/>
      <c r="C58" s="301"/>
      <c r="D58" s="189"/>
      <c r="E58" s="189"/>
      <c r="F58" s="302"/>
      <c r="G58" s="97"/>
      <c r="H58" s="301"/>
      <c r="I58" s="189"/>
      <c r="J58" s="189"/>
      <c r="K58" s="301"/>
      <c r="L58" s="189"/>
      <c r="M58" s="303"/>
      <c r="N58" s="189"/>
      <c r="O58" s="189"/>
      <c r="P58" s="303"/>
      <c r="Q58" s="189"/>
      <c r="R58" s="303"/>
      <c r="S58" s="189"/>
      <c r="AG58" s="65">
        <v>2</v>
      </c>
      <c r="AH58" s="66" t="e">
        <f>"da "&amp;ROUND(AQ32,0)&amp;" a "&amp;ROUND(AQ30,0)&amp;" auto/giorno a 30 kmh"</f>
        <v>#DIV/0!</v>
      </c>
      <c r="AI58" s="45"/>
      <c r="AJ58" s="45"/>
      <c r="AK58" s="46">
        <v>2</v>
      </c>
      <c r="AL58" s="66" t="e">
        <f>"da "&amp;ROUND(AQ54,0)&amp;" a "&amp;ROUND(AQ52,0)&amp;" auto/giorno a 30 kmh"</f>
        <v>#DIV/0!</v>
      </c>
      <c r="AM58" s="66"/>
      <c r="AN58" s="45"/>
      <c r="AO58" s="45"/>
      <c r="AP58" s="72" t="s">
        <v>19</v>
      </c>
      <c r="AQ58" s="151" t="e">
        <f>AQ57/5</f>
        <v>#DIV/0!</v>
      </c>
      <c r="AR58" s="151" t="e">
        <f t="shared" ref="AR58:AV58" si="38">AR57/5</f>
        <v>#DIV/0!</v>
      </c>
      <c r="AS58" s="151" t="e">
        <f t="shared" si="38"/>
        <v>#DIV/0!</v>
      </c>
      <c r="AT58" s="151" t="e">
        <f t="shared" si="38"/>
        <v>#DIV/0!</v>
      </c>
      <c r="AU58" s="151" t="e">
        <f t="shared" si="38"/>
        <v>#DIV/0!</v>
      </c>
      <c r="AV58" s="151" t="e">
        <f t="shared" si="38"/>
        <v>#DIV/0!</v>
      </c>
      <c r="AW58" s="44"/>
      <c r="AX58" s="44"/>
      <c r="AY58" s="44"/>
      <c r="AZ58" s="44"/>
      <c r="BA58" s="44"/>
      <c r="BB58" s="44"/>
      <c r="BC58" s="44"/>
      <c r="BD58" s="44"/>
      <c r="BE58" s="44"/>
      <c r="BF58" s="105"/>
    </row>
    <row r="59" spans="2:58" ht="24" customHeight="1" x14ac:dyDescent="0.3">
      <c r="B59" s="189"/>
      <c r="C59" s="301"/>
      <c r="D59" s="189"/>
      <c r="E59" s="189"/>
      <c r="F59" s="302"/>
      <c r="G59" s="97"/>
      <c r="H59" s="301"/>
      <c r="I59" s="189"/>
      <c r="J59" s="189"/>
      <c r="K59" s="301"/>
      <c r="L59" s="189"/>
      <c r="M59" s="303"/>
      <c r="N59" s="189"/>
      <c r="O59" s="189"/>
      <c r="P59" s="303"/>
      <c r="Q59" s="189"/>
      <c r="R59" s="303"/>
      <c r="S59" s="189"/>
      <c r="AG59" s="65">
        <v>3</v>
      </c>
      <c r="AH59" s="66" t="e">
        <f>"da "&amp;ROUND(AQ34,0)&amp;" a "&amp;ROUND(AQ32,0)&amp;" auto/giorno a 30 kmh"</f>
        <v>#DIV/0!</v>
      </c>
      <c r="AI59" s="45"/>
      <c r="AJ59" s="45"/>
      <c r="AK59" s="46">
        <v>3</v>
      </c>
      <c r="AL59" s="66" t="e">
        <f>"da "&amp;ROUND(AQ56,0)&amp;" a "&amp;ROUND(AQ54,0)&amp;" auto/giorno a 30 kmh"</f>
        <v>#DIV/0!</v>
      </c>
      <c r="AM59" s="66"/>
      <c r="AN59" s="45"/>
      <c r="AO59" s="45"/>
      <c r="AP59" s="72" t="s">
        <v>13</v>
      </c>
      <c r="AQ59" s="170" t="e">
        <f t="shared" ref="AQ59:AV59" si="39">AQ57/10</f>
        <v>#DIV/0!</v>
      </c>
      <c r="AR59" s="170" t="e">
        <f t="shared" si="39"/>
        <v>#DIV/0!</v>
      </c>
      <c r="AS59" s="170" t="e">
        <f t="shared" si="39"/>
        <v>#DIV/0!</v>
      </c>
      <c r="AT59" s="170" t="e">
        <f t="shared" si="39"/>
        <v>#DIV/0!</v>
      </c>
      <c r="AU59" s="170" t="e">
        <f t="shared" si="39"/>
        <v>#DIV/0!</v>
      </c>
      <c r="AV59" s="170" t="e">
        <f t="shared" si="39"/>
        <v>#DIV/0!</v>
      </c>
      <c r="AW59" s="44"/>
      <c r="AX59" s="44"/>
      <c r="AY59" s="44"/>
      <c r="AZ59" s="44"/>
      <c r="BA59" s="44"/>
      <c r="BB59" s="44"/>
      <c r="BC59" s="44"/>
      <c r="BD59" s="44"/>
      <c r="BE59" s="44"/>
      <c r="BF59" s="105"/>
    </row>
    <row r="60" spans="2:58" ht="15" customHeight="1" x14ac:dyDescent="0.3">
      <c r="B60" s="189"/>
      <c r="C60" s="301"/>
      <c r="D60" s="189"/>
      <c r="E60" s="189"/>
      <c r="F60" s="302"/>
      <c r="G60" s="97"/>
      <c r="H60" s="301"/>
      <c r="I60" s="189"/>
      <c r="J60" s="189"/>
      <c r="K60" s="301"/>
      <c r="L60" s="189"/>
      <c r="M60" s="303"/>
      <c r="N60" s="189"/>
      <c r="O60" s="189"/>
      <c r="P60" s="303"/>
      <c r="Q60" s="189"/>
      <c r="R60" s="303"/>
      <c r="S60" s="189"/>
      <c r="AG60" s="65">
        <v>4</v>
      </c>
      <c r="AH60" s="66" t="e">
        <f>"da "&amp;ROUND(AQ36,0)&amp;" a "&amp;ROUND(AQ34,0)&amp;" auto/giorno a 30 kmh"</f>
        <v>#DIV/0!</v>
      </c>
      <c r="AI60" s="45"/>
      <c r="AJ60" s="45"/>
      <c r="AK60" s="46">
        <v>4</v>
      </c>
      <c r="AL60" s="66" t="e">
        <f>"da "&amp;ROUND(AQ58,0)&amp;" a "&amp;ROUND(AQ56,0)&amp;" auto/giorno a 30 kmh"</f>
        <v>#DIV/0!</v>
      </c>
      <c r="AM60" s="66"/>
      <c r="AN60" s="45"/>
      <c r="AO60" s="45"/>
      <c r="AP60" s="72" t="s">
        <v>20</v>
      </c>
      <c r="AQ60" s="151" t="e">
        <f>AQ59/5</f>
        <v>#DIV/0!</v>
      </c>
      <c r="AR60" s="151" t="e">
        <f t="shared" ref="AR60:AV60" si="40">AR59/5</f>
        <v>#DIV/0!</v>
      </c>
      <c r="AS60" s="151" t="e">
        <f t="shared" si="40"/>
        <v>#DIV/0!</v>
      </c>
      <c r="AT60" s="151" t="e">
        <f t="shared" si="40"/>
        <v>#DIV/0!</v>
      </c>
      <c r="AU60" s="151" t="e">
        <f t="shared" si="40"/>
        <v>#DIV/0!</v>
      </c>
      <c r="AV60" s="151" t="e">
        <f t="shared" si="40"/>
        <v>#DIV/0!</v>
      </c>
      <c r="AW60" s="44"/>
      <c r="AX60" s="44"/>
      <c r="AY60" s="44"/>
      <c r="AZ60" s="44"/>
      <c r="BA60" s="44"/>
      <c r="BB60" s="44"/>
      <c r="BC60" s="44"/>
      <c r="BD60" s="44"/>
      <c r="BE60" s="44"/>
      <c r="BF60" s="105"/>
    </row>
    <row r="61" spans="2:58" ht="13.95" customHeight="1" x14ac:dyDescent="0.3">
      <c r="B61" s="189"/>
      <c r="C61" s="301"/>
      <c r="D61" s="189"/>
      <c r="E61" s="189"/>
      <c r="F61" s="302"/>
      <c r="G61" s="97"/>
      <c r="H61" s="301"/>
      <c r="I61" s="189"/>
      <c r="J61" s="189"/>
      <c r="K61" s="301"/>
      <c r="L61" s="189"/>
      <c r="M61" s="303"/>
      <c r="N61" s="189"/>
      <c r="O61" s="189"/>
      <c r="P61" s="303"/>
      <c r="Q61" s="189"/>
      <c r="R61" s="303"/>
      <c r="S61" s="189"/>
      <c r="AG61" s="65">
        <v>5</v>
      </c>
      <c r="AH61" s="66" t="e">
        <f>"da "&amp;ROUND(AQ38,1)&amp;" a "&amp;ROUND(AQ36,0)&amp;" auto/giorno a 30 kmh"</f>
        <v>#DIV/0!</v>
      </c>
      <c r="AI61" s="45"/>
      <c r="AJ61" s="45"/>
      <c r="AK61" s="46">
        <v>5</v>
      </c>
      <c r="AL61" s="66" t="e">
        <f>"da "&amp;ROUND(AQ60,1)&amp;" a "&amp;ROUND(AQ58,0)&amp;" auto/giorno a 30 kmh"</f>
        <v>#DIV/0!</v>
      </c>
      <c r="AM61" s="66"/>
      <c r="AN61" s="45"/>
      <c r="AO61" s="45"/>
      <c r="AP61" s="72" t="s">
        <v>14</v>
      </c>
      <c r="AQ61" s="170" t="e">
        <f t="shared" ref="AQ61:AV61" si="41">AQ59/10</f>
        <v>#DIV/0!</v>
      </c>
      <c r="AR61" s="170" t="e">
        <f t="shared" si="41"/>
        <v>#DIV/0!</v>
      </c>
      <c r="AS61" s="170" t="e">
        <f t="shared" si="41"/>
        <v>#DIV/0!</v>
      </c>
      <c r="AT61" s="170" t="e">
        <f t="shared" si="41"/>
        <v>#DIV/0!</v>
      </c>
      <c r="AU61" s="170" t="e">
        <f t="shared" si="41"/>
        <v>#DIV/0!</v>
      </c>
      <c r="AV61" s="170" t="e">
        <f t="shared" si="41"/>
        <v>#DIV/0!</v>
      </c>
      <c r="AW61" s="44"/>
      <c r="AX61" s="44"/>
      <c r="AY61" s="44"/>
      <c r="AZ61" s="44"/>
      <c r="BA61" s="44"/>
      <c r="BB61" s="44"/>
      <c r="BC61" s="44"/>
      <c r="BD61" s="44"/>
      <c r="BE61" s="44"/>
      <c r="BF61" s="105"/>
    </row>
    <row r="62" spans="2:58" ht="13.95" customHeight="1" x14ac:dyDescent="0.3">
      <c r="B62" s="189"/>
      <c r="C62" s="301"/>
      <c r="D62" s="189"/>
      <c r="E62" s="189"/>
      <c r="F62" s="302"/>
      <c r="G62" s="97"/>
      <c r="H62" s="301"/>
      <c r="I62" s="189"/>
      <c r="J62" s="189"/>
      <c r="K62" s="301"/>
      <c r="L62" s="189"/>
      <c r="M62" s="303"/>
      <c r="N62" s="189"/>
      <c r="O62" s="189"/>
      <c r="P62" s="303"/>
      <c r="Q62" s="189"/>
      <c r="R62" s="303"/>
      <c r="S62" s="189"/>
      <c r="AG62" s="65">
        <v>6</v>
      </c>
      <c r="AH62" s="66" t="e">
        <f>"da "&amp;ROUND(AQ40,2)&amp;" a "&amp;ROUND(AQ38,0)&amp;" auto/giorno a 30 kmh"</f>
        <v>#DIV/0!</v>
      </c>
      <c r="AI62" s="45"/>
      <c r="AJ62" s="45"/>
      <c r="AK62" s="46">
        <v>6</v>
      </c>
      <c r="AL62" s="66" t="e">
        <f>"da "&amp;ROUND(AQ62,2)&amp;" a "&amp;ROUND(AQ60,0)&amp;" auto/giorno a 30 kmh"</f>
        <v>#DIV/0!</v>
      </c>
      <c r="AM62" s="66"/>
      <c r="AN62" s="45"/>
      <c r="AO62" s="45"/>
      <c r="AP62" s="72" t="s">
        <v>21</v>
      </c>
      <c r="AQ62" s="151" t="e">
        <f>AQ61/5</f>
        <v>#DIV/0!</v>
      </c>
      <c r="AR62" s="151" t="e">
        <f t="shared" ref="AR62:AV62" si="42">AR61/5</f>
        <v>#DIV/0!</v>
      </c>
      <c r="AS62" s="151" t="e">
        <f t="shared" si="42"/>
        <v>#DIV/0!</v>
      </c>
      <c r="AT62" s="151" t="e">
        <f t="shared" si="42"/>
        <v>#DIV/0!</v>
      </c>
      <c r="AU62" s="151" t="e">
        <f t="shared" si="42"/>
        <v>#DIV/0!</v>
      </c>
      <c r="AV62" s="151" t="e">
        <f t="shared" si="42"/>
        <v>#DIV/0!</v>
      </c>
      <c r="AW62" s="44"/>
      <c r="AX62" s="44"/>
      <c r="AY62" s="44"/>
      <c r="AZ62" s="44"/>
      <c r="BA62" s="44"/>
      <c r="BB62" s="44"/>
      <c r="BC62" s="44"/>
      <c r="BD62" s="44"/>
      <c r="BE62" s="44"/>
      <c r="BF62" s="105"/>
    </row>
    <row r="63" spans="2:58" ht="13.95" customHeight="1" x14ac:dyDescent="0.3">
      <c r="B63" s="189"/>
      <c r="C63" s="301"/>
      <c r="D63" s="189"/>
      <c r="E63" s="189"/>
      <c r="F63" s="302"/>
      <c r="G63" s="97"/>
      <c r="H63" s="301"/>
      <c r="I63" s="189"/>
      <c r="J63" s="189"/>
      <c r="K63" s="301"/>
      <c r="L63" s="189"/>
      <c r="M63" s="303"/>
      <c r="N63" s="189"/>
      <c r="O63" s="189"/>
      <c r="P63" s="303"/>
      <c r="Q63" s="189"/>
      <c r="R63" s="303"/>
      <c r="S63" s="189"/>
      <c r="AG63" s="65">
        <v>7</v>
      </c>
      <c r="AH63" s="66" t="e">
        <f>"da "&amp;ROUND(AQ41,2)&amp;" a "&amp;ROUND(AQ40,2)&amp;" auto/giorno a 30 kmh"</f>
        <v>#DIV/0!</v>
      </c>
      <c r="AI63" s="45"/>
      <c r="AJ63" s="45"/>
      <c r="AK63" s="46">
        <v>7</v>
      </c>
      <c r="AL63" s="66" t="e">
        <f>"da "&amp;ROUND(AQ63,2)&amp;" a "&amp;ROUND(AQ62,2)&amp;" auto/giorno a 30 kmh"</f>
        <v>#DIV/0!</v>
      </c>
      <c r="AM63" s="66"/>
      <c r="AN63" s="45"/>
      <c r="AO63" s="45"/>
      <c r="AP63" s="72" t="s">
        <v>15</v>
      </c>
      <c r="AQ63" s="178" t="e">
        <f t="shared" ref="AQ63:AV63" si="43">AQ61/10</f>
        <v>#DIV/0!</v>
      </c>
      <c r="AR63" s="178" t="e">
        <f t="shared" si="43"/>
        <v>#DIV/0!</v>
      </c>
      <c r="AS63" s="178" t="e">
        <f t="shared" si="43"/>
        <v>#DIV/0!</v>
      </c>
      <c r="AT63" s="178" t="e">
        <f t="shared" si="43"/>
        <v>#DIV/0!</v>
      </c>
      <c r="AU63" s="178" t="e">
        <f t="shared" si="43"/>
        <v>#DIV/0!</v>
      </c>
      <c r="AV63" s="178" t="e">
        <f t="shared" si="43"/>
        <v>#DIV/0!</v>
      </c>
      <c r="AW63" s="44"/>
      <c r="AX63" s="44"/>
      <c r="AY63" s="44"/>
      <c r="AZ63" s="44"/>
      <c r="BA63" s="44"/>
      <c r="BB63" s="44"/>
      <c r="BC63" s="44"/>
      <c r="BD63" s="44"/>
      <c r="BE63" s="44"/>
      <c r="BF63" s="105"/>
    </row>
    <row r="64" spans="2:58" ht="13.95" customHeight="1" x14ac:dyDescent="0.3">
      <c r="B64" s="189"/>
      <c r="C64" s="301"/>
      <c r="D64" s="189"/>
      <c r="E64" s="189"/>
      <c r="F64" s="302"/>
      <c r="G64" s="97"/>
      <c r="H64" s="301"/>
      <c r="I64" s="189"/>
      <c r="J64" s="189"/>
      <c r="K64" s="301"/>
      <c r="L64" s="189"/>
      <c r="M64" s="303"/>
      <c r="N64" s="189"/>
      <c r="O64" s="189"/>
      <c r="P64" s="303"/>
      <c r="Q64" s="189"/>
      <c r="R64" s="303"/>
      <c r="S64" s="189"/>
      <c r="AG64" s="129"/>
      <c r="AH64" s="205"/>
      <c r="AI64" s="205"/>
      <c r="AJ64" s="205"/>
      <c r="AK64" s="205"/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6"/>
      <c r="AX64" s="206"/>
      <c r="AY64" s="206"/>
      <c r="AZ64" s="206"/>
      <c r="BA64" s="206"/>
      <c r="BB64" s="206"/>
      <c r="BC64" s="206"/>
      <c r="BD64" s="206"/>
      <c r="BE64" s="206"/>
      <c r="BF64" s="207"/>
    </row>
    <row r="65" spans="2:48" ht="13.95" customHeight="1" x14ac:dyDescent="0.3">
      <c r="B65" s="189"/>
      <c r="C65" s="301"/>
      <c r="D65" s="189"/>
      <c r="E65" s="189"/>
      <c r="F65" s="302"/>
      <c r="G65" s="97"/>
      <c r="H65" s="301"/>
      <c r="I65" s="189"/>
      <c r="J65" s="189"/>
      <c r="K65" s="301"/>
      <c r="L65" s="189"/>
      <c r="M65" s="303"/>
      <c r="N65" s="189"/>
      <c r="O65" s="189"/>
      <c r="P65" s="303"/>
      <c r="Q65" s="189"/>
      <c r="R65" s="303"/>
      <c r="S65" s="189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</row>
    <row r="66" spans="2:48" ht="16.05" customHeight="1" x14ac:dyDescent="0.3">
      <c r="B66" s="189"/>
      <c r="C66" s="301"/>
      <c r="D66" s="189"/>
      <c r="E66" s="189"/>
      <c r="F66" s="302"/>
      <c r="G66" s="97"/>
      <c r="H66" s="301"/>
      <c r="I66" s="189"/>
      <c r="J66" s="189"/>
      <c r="K66" s="301"/>
      <c r="L66" s="189"/>
      <c r="M66" s="303"/>
      <c r="N66" s="189"/>
      <c r="O66" s="189"/>
      <c r="P66" s="303"/>
      <c r="Q66" s="189"/>
      <c r="R66" s="303"/>
      <c r="S66" s="189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</row>
    <row r="67" spans="2:48" x14ac:dyDescent="0.3">
      <c r="B67" s="189"/>
      <c r="C67" s="301"/>
      <c r="D67" s="189"/>
      <c r="E67" s="189"/>
      <c r="F67" s="302"/>
      <c r="G67" s="97"/>
      <c r="H67" s="301"/>
      <c r="I67" s="189"/>
      <c r="J67" s="189"/>
      <c r="K67" s="301"/>
      <c r="L67" s="189"/>
      <c r="M67" s="303"/>
      <c r="N67" s="189"/>
      <c r="O67" s="189"/>
      <c r="P67" s="303"/>
      <c r="Q67" s="189"/>
      <c r="R67" s="303"/>
      <c r="S67" s="189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</row>
    <row r="68" spans="2:48" x14ac:dyDescent="0.3">
      <c r="B68" s="189"/>
      <c r="C68" s="301"/>
      <c r="D68" s="189"/>
      <c r="E68" s="189"/>
      <c r="F68" s="302"/>
      <c r="G68" s="97"/>
      <c r="H68" s="301"/>
      <c r="I68" s="189"/>
      <c r="J68" s="189"/>
      <c r="K68" s="301"/>
      <c r="L68" s="189"/>
      <c r="M68" s="303"/>
      <c r="N68" s="189"/>
      <c r="O68" s="189"/>
      <c r="P68" s="303"/>
      <c r="Q68" s="189"/>
      <c r="R68" s="303"/>
      <c r="S68" s="189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</row>
    <row r="69" spans="2:48" x14ac:dyDescent="0.3">
      <c r="B69" s="189"/>
      <c r="C69" s="301"/>
      <c r="D69" s="189"/>
      <c r="E69" s="189"/>
      <c r="F69" s="302"/>
      <c r="G69" s="97"/>
      <c r="H69" s="301"/>
      <c r="I69" s="189"/>
      <c r="J69" s="189"/>
      <c r="K69" s="301"/>
      <c r="L69" s="189"/>
      <c r="M69" s="303"/>
      <c r="N69" s="189"/>
      <c r="O69" s="189"/>
      <c r="P69" s="303"/>
      <c r="Q69" s="189"/>
      <c r="R69" s="303"/>
      <c r="S69" s="189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</row>
    <row r="70" spans="2:48" x14ac:dyDescent="0.3">
      <c r="B70" s="189"/>
      <c r="C70" s="301"/>
      <c r="D70" s="189"/>
      <c r="E70" s="189"/>
      <c r="F70" s="302"/>
      <c r="G70" s="97"/>
      <c r="H70" s="301"/>
      <c r="I70" s="189"/>
      <c r="J70" s="189"/>
      <c r="K70" s="301"/>
      <c r="L70" s="189"/>
      <c r="M70" s="303"/>
      <c r="N70" s="189"/>
      <c r="O70" s="189"/>
      <c r="P70" s="303"/>
      <c r="Q70" s="189"/>
      <c r="R70" s="303"/>
      <c r="S70" s="189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</row>
    <row r="71" spans="2:48" x14ac:dyDescent="0.3">
      <c r="B71" s="189"/>
      <c r="C71" s="301"/>
      <c r="D71" s="189"/>
      <c r="E71" s="189"/>
      <c r="F71" s="302"/>
      <c r="G71" s="97"/>
      <c r="H71" s="301"/>
      <c r="I71" s="189"/>
      <c r="J71" s="189"/>
      <c r="K71" s="301"/>
      <c r="L71" s="189"/>
      <c r="M71" s="303"/>
      <c r="N71" s="189"/>
      <c r="O71" s="189"/>
      <c r="P71" s="303"/>
      <c r="Q71" s="189"/>
      <c r="R71" s="303"/>
      <c r="S71" s="189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</row>
    <row r="72" spans="2:48" x14ac:dyDescent="0.3">
      <c r="B72" s="189"/>
      <c r="C72" s="301"/>
      <c r="D72" s="189"/>
      <c r="E72" s="189"/>
      <c r="F72" s="302"/>
      <c r="G72" s="97"/>
      <c r="H72" s="301"/>
      <c r="I72" s="189"/>
      <c r="J72" s="189"/>
      <c r="K72" s="301"/>
      <c r="L72" s="189"/>
      <c r="M72" s="303"/>
      <c r="N72" s="189"/>
      <c r="O72" s="189"/>
      <c r="P72" s="303"/>
      <c r="Q72" s="189"/>
      <c r="R72" s="303"/>
      <c r="S72" s="189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</row>
    <row r="73" spans="2:48" x14ac:dyDescent="0.3">
      <c r="B73" s="189"/>
      <c r="C73" s="301"/>
      <c r="D73" s="189"/>
      <c r="E73" s="189"/>
      <c r="F73" s="302"/>
      <c r="G73" s="97"/>
      <c r="H73" s="301"/>
      <c r="I73" s="189"/>
      <c r="J73" s="189"/>
      <c r="K73" s="301"/>
      <c r="L73" s="189"/>
      <c r="M73" s="303"/>
      <c r="N73" s="189"/>
      <c r="O73" s="189"/>
      <c r="P73" s="303"/>
      <c r="Q73" s="189"/>
      <c r="R73" s="303"/>
      <c r="S73" s="189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</row>
    <row r="74" spans="2:48" x14ac:dyDescent="0.3">
      <c r="B74" s="189"/>
      <c r="C74" s="301"/>
      <c r="D74" s="189"/>
      <c r="E74" s="189"/>
      <c r="F74" s="302"/>
      <c r="G74" s="97"/>
      <c r="H74" s="301"/>
      <c r="I74" s="189"/>
      <c r="J74" s="189"/>
      <c r="K74" s="301"/>
      <c r="L74" s="189"/>
      <c r="M74" s="303"/>
      <c r="N74" s="189"/>
      <c r="O74" s="189"/>
      <c r="P74" s="303"/>
      <c r="Q74" s="189"/>
      <c r="R74" s="303"/>
      <c r="S74" s="189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</row>
    <row r="75" spans="2:48" x14ac:dyDescent="0.3">
      <c r="B75" s="189"/>
      <c r="C75" s="301"/>
      <c r="D75" s="189"/>
      <c r="E75" s="189"/>
      <c r="F75" s="302"/>
      <c r="G75" s="97"/>
      <c r="H75" s="301"/>
      <c r="I75" s="189"/>
      <c r="J75" s="189"/>
      <c r="K75" s="301"/>
      <c r="L75" s="189"/>
      <c r="M75" s="303"/>
      <c r="N75" s="189"/>
      <c r="O75" s="189"/>
      <c r="P75" s="303"/>
      <c r="Q75" s="189"/>
      <c r="R75" s="303"/>
      <c r="S75" s="189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</row>
    <row r="76" spans="2:48" x14ac:dyDescent="0.3">
      <c r="B76" s="189"/>
      <c r="C76" s="301"/>
      <c r="D76" s="189"/>
      <c r="E76" s="189"/>
      <c r="F76" s="302"/>
      <c r="G76" s="97"/>
      <c r="H76" s="301"/>
      <c r="I76" s="189"/>
      <c r="J76" s="189"/>
      <c r="K76" s="301"/>
      <c r="L76" s="189"/>
      <c r="M76" s="303"/>
      <c r="N76" s="189"/>
      <c r="O76" s="189"/>
      <c r="P76" s="303"/>
      <c r="Q76" s="189"/>
      <c r="R76" s="303"/>
      <c r="S76" s="189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</row>
    <row r="77" spans="2:48" x14ac:dyDescent="0.3">
      <c r="B77" s="189"/>
      <c r="C77" s="301"/>
      <c r="D77" s="189"/>
      <c r="E77" s="189"/>
      <c r="F77" s="302"/>
      <c r="G77" s="97"/>
      <c r="H77" s="301"/>
      <c r="I77" s="189"/>
      <c r="J77" s="189"/>
      <c r="K77" s="301"/>
      <c r="L77" s="189"/>
      <c r="M77" s="303"/>
      <c r="N77" s="189"/>
      <c r="O77" s="189"/>
      <c r="P77" s="303"/>
      <c r="Q77" s="189"/>
      <c r="R77" s="303"/>
      <c r="S77" s="189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</row>
    <row r="78" spans="2:48" x14ac:dyDescent="0.3">
      <c r="B78" s="189"/>
      <c r="C78" s="301"/>
      <c r="D78" s="189"/>
      <c r="E78" s="189"/>
      <c r="F78" s="302"/>
      <c r="G78" s="97"/>
      <c r="H78" s="301"/>
      <c r="I78" s="189"/>
      <c r="J78" s="189"/>
      <c r="K78" s="301"/>
      <c r="L78" s="189"/>
      <c r="M78" s="303"/>
      <c r="N78" s="189"/>
      <c r="O78" s="189"/>
      <c r="P78" s="303"/>
      <c r="Q78" s="189"/>
      <c r="R78" s="303"/>
      <c r="S78" s="189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</row>
    <row r="79" spans="2:48" x14ac:dyDescent="0.3">
      <c r="B79" s="189"/>
      <c r="C79" s="301"/>
      <c r="D79" s="189"/>
      <c r="E79" s="189"/>
      <c r="F79" s="302"/>
      <c r="G79" s="97"/>
      <c r="H79" s="301"/>
      <c r="I79" s="189"/>
      <c r="J79" s="189"/>
      <c r="K79" s="301"/>
      <c r="L79" s="189"/>
      <c r="M79" s="303"/>
      <c r="N79" s="189"/>
      <c r="O79" s="189"/>
      <c r="P79" s="303"/>
      <c r="Q79" s="189"/>
      <c r="R79" s="303"/>
      <c r="S79" s="189"/>
    </row>
    <row r="80" spans="2:48" x14ac:dyDescent="0.3">
      <c r="B80" s="189"/>
      <c r="C80" s="301"/>
      <c r="D80" s="189"/>
      <c r="E80" s="189"/>
      <c r="F80" s="302"/>
      <c r="G80" s="97"/>
      <c r="H80" s="301"/>
      <c r="I80" s="189"/>
      <c r="J80" s="189"/>
      <c r="K80" s="301"/>
      <c r="L80" s="189"/>
      <c r="M80" s="303"/>
      <c r="N80" s="189"/>
      <c r="O80" s="189"/>
      <c r="P80" s="303"/>
      <c r="Q80" s="189"/>
      <c r="R80" s="303"/>
      <c r="S80" s="189"/>
    </row>
    <row r="81" spans="2:19" x14ac:dyDescent="0.3">
      <c r="B81" s="189"/>
      <c r="C81" s="301"/>
      <c r="D81" s="189"/>
      <c r="E81" s="189"/>
      <c r="F81" s="302"/>
      <c r="G81" s="97"/>
      <c r="H81" s="301"/>
      <c r="I81" s="189"/>
      <c r="J81" s="189"/>
      <c r="K81" s="301"/>
      <c r="L81" s="189"/>
      <c r="M81" s="303"/>
      <c r="N81" s="189"/>
      <c r="O81" s="189"/>
      <c r="P81" s="303"/>
      <c r="Q81" s="189"/>
      <c r="R81" s="303"/>
      <c r="S81" s="189"/>
    </row>
    <row r="82" spans="2:19" x14ac:dyDescent="0.3">
      <c r="B82" s="189"/>
      <c r="C82" s="301"/>
      <c r="D82" s="189"/>
      <c r="E82" s="189"/>
      <c r="F82" s="302"/>
      <c r="G82" s="97"/>
      <c r="H82" s="301"/>
      <c r="I82" s="189"/>
      <c r="J82" s="189"/>
      <c r="K82" s="301"/>
      <c r="L82" s="189"/>
      <c r="M82" s="303"/>
      <c r="N82" s="189"/>
      <c r="O82" s="189"/>
      <c r="P82" s="303"/>
      <c r="Q82" s="189"/>
      <c r="R82" s="303"/>
      <c r="S82" s="189"/>
    </row>
    <row r="83" spans="2:19" x14ac:dyDescent="0.3">
      <c r="B83" s="189"/>
      <c r="C83" s="301"/>
      <c r="D83" s="189"/>
      <c r="E83" s="189"/>
      <c r="F83" s="302"/>
      <c r="G83" s="97"/>
      <c r="H83" s="301"/>
      <c r="I83" s="189"/>
      <c r="J83" s="189"/>
      <c r="K83" s="301"/>
      <c r="L83" s="189"/>
      <c r="M83" s="303"/>
      <c r="N83" s="189"/>
      <c r="O83" s="189"/>
      <c r="P83" s="303"/>
      <c r="Q83" s="189"/>
      <c r="R83" s="303"/>
      <c r="S83" s="189"/>
    </row>
    <row r="84" spans="2:19" x14ac:dyDescent="0.3">
      <c r="B84" s="189"/>
      <c r="C84" s="301"/>
      <c r="D84" s="189"/>
      <c r="E84" s="189"/>
      <c r="F84" s="302"/>
      <c r="G84" s="97"/>
      <c r="H84" s="301"/>
      <c r="I84" s="189"/>
      <c r="J84" s="189"/>
      <c r="K84" s="301"/>
      <c r="L84" s="189"/>
      <c r="M84" s="303"/>
      <c r="N84" s="189"/>
      <c r="O84" s="189"/>
      <c r="P84" s="303"/>
      <c r="Q84" s="189"/>
      <c r="R84" s="303"/>
      <c r="S84" s="189"/>
    </row>
    <row r="85" spans="2:19" x14ac:dyDescent="0.3">
      <c r="B85" s="189"/>
      <c r="C85" s="301"/>
      <c r="D85" s="189"/>
      <c r="E85" s="189"/>
      <c r="F85" s="302"/>
      <c r="G85" s="97"/>
      <c r="H85" s="301"/>
      <c r="I85" s="189"/>
      <c r="J85" s="189"/>
      <c r="K85" s="301"/>
      <c r="L85" s="189"/>
      <c r="M85" s="303"/>
      <c r="N85" s="189"/>
      <c r="O85" s="189"/>
      <c r="P85" s="303"/>
      <c r="Q85" s="189"/>
      <c r="R85" s="303"/>
      <c r="S85" s="189"/>
    </row>
    <row r="86" spans="2:19" x14ac:dyDescent="0.3">
      <c r="B86" s="189"/>
      <c r="C86" s="301"/>
      <c r="D86" s="189"/>
      <c r="E86" s="189"/>
      <c r="F86" s="302"/>
      <c r="G86" s="97"/>
      <c r="H86" s="301"/>
      <c r="I86" s="189"/>
      <c r="J86" s="189"/>
      <c r="K86" s="301"/>
      <c r="L86" s="189"/>
      <c r="M86" s="303"/>
      <c r="N86" s="189"/>
      <c r="O86" s="189"/>
      <c r="P86" s="303"/>
      <c r="Q86" s="189"/>
      <c r="R86" s="303"/>
      <c r="S86" s="189"/>
    </row>
    <row r="87" spans="2:19" x14ac:dyDescent="0.3">
      <c r="B87" s="189"/>
      <c r="C87" s="301"/>
      <c r="D87" s="189"/>
      <c r="E87" s="189"/>
      <c r="F87" s="302"/>
      <c r="G87" s="97"/>
      <c r="H87" s="301"/>
      <c r="I87" s="189"/>
      <c r="J87" s="189"/>
      <c r="K87" s="301"/>
      <c r="L87" s="189"/>
      <c r="M87" s="303"/>
      <c r="N87" s="189"/>
      <c r="O87" s="189"/>
      <c r="P87" s="303"/>
      <c r="Q87" s="189"/>
      <c r="R87" s="303"/>
      <c r="S87" s="189"/>
    </row>
    <row r="88" spans="2:19" x14ac:dyDescent="0.3">
      <c r="B88" s="189"/>
      <c r="C88" s="301"/>
      <c r="D88" s="189"/>
      <c r="E88" s="189"/>
      <c r="F88" s="302"/>
      <c r="G88" s="97"/>
      <c r="H88" s="301"/>
      <c r="I88" s="189"/>
      <c r="J88" s="189"/>
      <c r="K88" s="301"/>
      <c r="L88" s="189"/>
      <c r="M88" s="303"/>
      <c r="N88" s="189"/>
      <c r="O88" s="189"/>
      <c r="P88" s="303"/>
      <c r="Q88" s="189"/>
      <c r="R88" s="303"/>
      <c r="S88" s="189"/>
    </row>
    <row r="89" spans="2:19" x14ac:dyDescent="0.3">
      <c r="B89" s="189"/>
      <c r="C89" s="301"/>
      <c r="D89" s="189"/>
      <c r="E89" s="189"/>
      <c r="F89" s="302"/>
      <c r="G89" s="97"/>
      <c r="H89" s="301"/>
      <c r="I89" s="189"/>
      <c r="J89" s="189"/>
      <c r="K89" s="301"/>
      <c r="L89" s="189"/>
      <c r="M89" s="303"/>
      <c r="N89" s="189"/>
      <c r="O89" s="189"/>
      <c r="P89" s="303"/>
      <c r="Q89" s="189"/>
      <c r="R89" s="303"/>
      <c r="S89" s="189"/>
    </row>
    <row r="90" spans="2:19" x14ac:dyDescent="0.3">
      <c r="B90" s="189"/>
      <c r="C90" s="301"/>
      <c r="D90" s="189"/>
      <c r="E90" s="189"/>
      <c r="F90" s="302"/>
      <c r="G90" s="97"/>
      <c r="H90" s="301"/>
      <c r="I90" s="189"/>
    </row>
    <row r="91" spans="2:19" x14ac:dyDescent="0.3">
      <c r="B91" s="189"/>
      <c r="C91" s="301"/>
      <c r="D91" s="189"/>
      <c r="E91" s="189"/>
      <c r="F91" s="302"/>
      <c r="G91" s="97"/>
      <c r="H91" s="301"/>
      <c r="I91" s="189"/>
    </row>
    <row r="92" spans="2:19" x14ac:dyDescent="0.3">
      <c r="B92" s="189"/>
      <c r="C92" s="301"/>
      <c r="D92" s="189"/>
      <c r="E92" s="189"/>
      <c r="F92" s="302"/>
      <c r="G92" s="97"/>
      <c r="H92" s="301"/>
      <c r="I92" s="189"/>
    </row>
    <row r="93" spans="2:19" x14ac:dyDescent="0.3">
      <c r="B93" s="189"/>
      <c r="C93" s="301"/>
      <c r="D93" s="189"/>
      <c r="E93" s="189"/>
      <c r="F93" s="302"/>
      <c r="G93" s="97"/>
      <c r="H93" s="301"/>
      <c r="I93" s="189"/>
    </row>
    <row r="94" spans="2:19" x14ac:dyDescent="0.3">
      <c r="B94" s="189"/>
      <c r="C94" s="301"/>
      <c r="D94" s="189"/>
      <c r="E94" s="189"/>
      <c r="F94" s="302"/>
      <c r="G94" s="97"/>
      <c r="H94" s="301"/>
      <c r="I94" s="189"/>
    </row>
    <row r="95" spans="2:19" x14ac:dyDescent="0.3">
      <c r="B95" s="189"/>
      <c r="C95" s="301"/>
      <c r="D95" s="189"/>
      <c r="E95" s="189"/>
      <c r="F95" s="302"/>
      <c r="G95" s="97"/>
      <c r="H95" s="301"/>
      <c r="I95" s="189"/>
    </row>
    <row r="96" spans="2:19" x14ac:dyDescent="0.3">
      <c r="B96" s="189"/>
      <c r="C96" s="301"/>
      <c r="D96" s="189"/>
      <c r="E96" s="189"/>
      <c r="F96" s="302"/>
      <c r="G96" s="97"/>
      <c r="H96" s="301"/>
      <c r="I96" s="189"/>
    </row>
    <row r="97" spans="2:46" x14ac:dyDescent="0.3">
      <c r="B97" s="189"/>
      <c r="C97" s="301"/>
      <c r="D97" s="189"/>
      <c r="E97" s="189"/>
      <c r="F97" s="302"/>
      <c r="G97" s="97"/>
    </row>
    <row r="98" spans="2:46" x14ac:dyDescent="0.3">
      <c r="B98" s="189"/>
      <c r="C98" s="301"/>
      <c r="D98" s="189"/>
      <c r="E98" s="189"/>
      <c r="F98" s="302"/>
      <c r="G98" s="97"/>
    </row>
    <row r="99" spans="2:46" x14ac:dyDescent="0.3">
      <c r="B99" s="189"/>
      <c r="C99" s="301"/>
      <c r="D99" s="189"/>
      <c r="E99" s="189"/>
      <c r="F99" s="302"/>
      <c r="G99" s="97"/>
    </row>
    <row r="100" spans="2:46" x14ac:dyDescent="0.3">
      <c r="B100" s="189"/>
      <c r="C100" s="301"/>
      <c r="D100" s="189"/>
      <c r="E100" s="189"/>
      <c r="F100" s="302"/>
      <c r="G100" s="97"/>
    </row>
    <row r="101" spans="2:46" x14ac:dyDescent="0.3">
      <c r="B101" s="189"/>
      <c r="C101" s="301"/>
      <c r="D101" s="189"/>
      <c r="E101" s="189"/>
      <c r="F101" s="302"/>
      <c r="G101" s="97"/>
    </row>
    <row r="102" spans="2:46" x14ac:dyDescent="0.3">
      <c r="B102" s="189"/>
      <c r="C102" s="301"/>
      <c r="D102" s="189"/>
      <c r="E102" s="189"/>
      <c r="F102" s="302"/>
      <c r="G102" s="97"/>
    </row>
    <row r="103" spans="2:46" x14ac:dyDescent="0.3">
      <c r="B103" s="189"/>
      <c r="C103" s="301"/>
      <c r="D103" s="189"/>
      <c r="E103" s="189"/>
      <c r="F103" s="302"/>
      <c r="G103" s="97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</row>
    <row r="104" spans="2:46" x14ac:dyDescent="0.3">
      <c r="B104" s="189"/>
      <c r="C104" s="301"/>
      <c r="D104" s="189"/>
      <c r="E104" s="189"/>
      <c r="F104" s="302"/>
      <c r="G104" s="97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</row>
    <row r="105" spans="2:46" x14ac:dyDescent="0.3">
      <c r="B105" s="189"/>
      <c r="C105" s="301"/>
      <c r="D105" s="189"/>
      <c r="E105" s="189"/>
      <c r="F105" s="302"/>
      <c r="G105" s="97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</row>
    <row r="106" spans="2:46" x14ac:dyDescent="0.3">
      <c r="B106" s="189"/>
      <c r="C106" s="301"/>
      <c r="D106" s="189"/>
      <c r="E106" s="189"/>
      <c r="F106" s="302"/>
      <c r="G106" s="97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</row>
    <row r="107" spans="2:46" x14ac:dyDescent="0.3">
      <c r="B107" s="189"/>
      <c r="C107" s="301"/>
      <c r="D107" s="189"/>
      <c r="E107" s="189"/>
      <c r="F107" s="302"/>
      <c r="G107" s="97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</row>
    <row r="108" spans="2:46" x14ac:dyDescent="0.3">
      <c r="B108" s="189"/>
      <c r="C108" s="301"/>
      <c r="D108" s="189"/>
      <c r="E108" s="189"/>
      <c r="F108" s="302"/>
      <c r="G108" s="97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</row>
    <row r="109" spans="2:46" x14ac:dyDescent="0.3"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</row>
    <row r="110" spans="2:46" x14ac:dyDescent="0.3"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</row>
    <row r="111" spans="2:46" x14ac:dyDescent="0.3"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</row>
    <row r="112" spans="2:46" x14ac:dyDescent="0.3"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</row>
    <row r="113" spans="31:46" x14ac:dyDescent="0.3"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</row>
    <row r="114" spans="31:46" x14ac:dyDescent="0.3"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</row>
    <row r="115" spans="31:46" x14ac:dyDescent="0.3"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</row>
    <row r="116" spans="31:46" x14ac:dyDescent="0.3"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</row>
    <row r="117" spans="31:46" x14ac:dyDescent="0.3"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</row>
  </sheetData>
  <sheetProtection algorithmName="SHA-512" hashValue="8CHtjtlAm58eK0R9IiaDqEf7NeCGqcYKXd9w5uCXmCQoXqobNUT48Wen89BE/Zs7P3d7HP4ygatiAM8VEd3Qxg==" saltValue="4f43GHGEpvyJ78u+wRi9FA==" spinCount="100000" sheet="1" objects="1" scenarios="1" selectLockedCells="1"/>
  <dataConsolidate/>
  <mergeCells count="91">
    <mergeCell ref="C18:H18"/>
    <mergeCell ref="C19:H19"/>
    <mergeCell ref="C20:H20"/>
    <mergeCell ref="N19:Q19"/>
    <mergeCell ref="B21:U21"/>
    <mergeCell ref="J19:K19"/>
    <mergeCell ref="R19:R20"/>
    <mergeCell ref="T19:U19"/>
    <mergeCell ref="J20:K20"/>
    <mergeCell ref="M20:Q20"/>
    <mergeCell ref="T20:U20"/>
    <mergeCell ref="I19:I20"/>
    <mergeCell ref="C32:U32"/>
    <mergeCell ref="J6:Q6"/>
    <mergeCell ref="B11:D11"/>
    <mergeCell ref="E11:F11"/>
    <mergeCell ref="B30:I30"/>
    <mergeCell ref="J30:K30"/>
    <mergeCell ref="L30:N30"/>
    <mergeCell ref="O30:P30"/>
    <mergeCell ref="Q30:S30"/>
    <mergeCell ref="T30:U30"/>
    <mergeCell ref="B29:I29"/>
    <mergeCell ref="J29:K29"/>
    <mergeCell ref="L29:N29"/>
    <mergeCell ref="O29:P29"/>
    <mergeCell ref="Q29:S29"/>
    <mergeCell ref="T29:U29"/>
    <mergeCell ref="B27:U27"/>
    <mergeCell ref="B28:I28"/>
    <mergeCell ref="J28:K28"/>
    <mergeCell ref="L28:N28"/>
    <mergeCell ref="O28:P28"/>
    <mergeCell ref="Q28:S28"/>
    <mergeCell ref="T28:U28"/>
    <mergeCell ref="R22:U25"/>
    <mergeCell ref="G22:P22"/>
    <mergeCell ref="G23:P23"/>
    <mergeCell ref="G24:P24"/>
    <mergeCell ref="G25:P25"/>
    <mergeCell ref="B12:U12"/>
    <mergeCell ref="E13:G13"/>
    <mergeCell ref="H13:S13"/>
    <mergeCell ref="E14:G14"/>
    <mergeCell ref="H14:S14"/>
    <mergeCell ref="E15:G15"/>
    <mergeCell ref="H15:S15"/>
    <mergeCell ref="E24:F24"/>
    <mergeCell ref="E25:F25"/>
    <mergeCell ref="E22:F22"/>
    <mergeCell ref="E23:F23"/>
    <mergeCell ref="E16:G16"/>
    <mergeCell ref="H16:S16"/>
    <mergeCell ref="B17:U17"/>
    <mergeCell ref="J18:L18"/>
    <mergeCell ref="N18:Q18"/>
    <mergeCell ref="S18:U18"/>
    <mergeCell ref="B24:D24"/>
    <mergeCell ref="B25:D25"/>
    <mergeCell ref="B22:D22"/>
    <mergeCell ref="B23:D23"/>
    <mergeCell ref="G11:U11"/>
    <mergeCell ref="BI8:BK9"/>
    <mergeCell ref="E9:F9"/>
    <mergeCell ref="J9:K9"/>
    <mergeCell ref="O9:P9"/>
    <mergeCell ref="T9:U9"/>
    <mergeCell ref="E10:F10"/>
    <mergeCell ref="H10:I10"/>
    <mergeCell ref="J10:K10"/>
    <mergeCell ref="P10:R10"/>
    <mergeCell ref="S10:U10"/>
    <mergeCell ref="D8:H8"/>
    <mergeCell ref="I8:K8"/>
    <mergeCell ref="L8:M8"/>
    <mergeCell ref="N8:P8"/>
    <mergeCell ref="Q8:R8"/>
    <mergeCell ref="B10:C10"/>
    <mergeCell ref="D2:N4"/>
    <mergeCell ref="AD2:AE2"/>
    <mergeCell ref="T4:U4"/>
    <mergeCell ref="B5:U5"/>
    <mergeCell ref="B6:C6"/>
    <mergeCell ref="D6:F6"/>
    <mergeCell ref="S8:U8"/>
    <mergeCell ref="C7:D7"/>
    <mergeCell ref="E7:F7"/>
    <mergeCell ref="G7:H7"/>
    <mergeCell ref="J7:L7"/>
    <mergeCell ref="N7:Q7"/>
    <mergeCell ref="S7:U7"/>
  </mergeCells>
  <conditionalFormatting sqref="C20">
    <cfRule type="cellIs" dxfId="256" priority="29" operator="equal">
      <formula>2</formula>
    </cfRule>
    <cfRule type="cellIs" dxfId="255" priority="30" operator="equal">
      <formula>6</formula>
    </cfRule>
    <cfRule type="cellIs" dxfId="254" priority="31" operator="equal">
      <formula>5</formula>
    </cfRule>
    <cfRule type="cellIs" dxfId="253" priority="32" operator="equal">
      <formula>1</formula>
    </cfRule>
    <cfRule type="cellIs" dxfId="252" priority="33" operator="equal">
      <formula>3</formula>
    </cfRule>
    <cfRule type="cellIs" dxfId="251" priority="34" operator="equal">
      <formula>4</formula>
    </cfRule>
  </conditionalFormatting>
  <conditionalFormatting sqref="E11">
    <cfRule type="cellIs" dxfId="250" priority="84" operator="equal">
      <formula>0</formula>
    </cfRule>
    <cfRule type="cellIs" dxfId="249" priority="85" operator="equal">
      <formula>5</formula>
    </cfRule>
    <cfRule type="cellIs" dxfId="248" priority="86" operator="between">
      <formula>15</formula>
      <formula>20</formula>
    </cfRule>
    <cfRule type="cellIs" dxfId="247" priority="87" operator="between">
      <formula>25</formula>
      <formula>40</formula>
    </cfRule>
    <cfRule type="cellIs" dxfId="246" priority="88" operator="equal">
      <formula>50</formula>
    </cfRule>
    <cfRule type="cellIs" dxfId="245" priority="89" operator="between">
      <formula>60</formula>
      <formula>80</formula>
    </cfRule>
    <cfRule type="cellIs" dxfId="244" priority="90" operator="greaterThan">
      <formula>80</formula>
    </cfRule>
  </conditionalFormatting>
  <conditionalFormatting sqref="E13:E16 L20 T20">
    <cfRule type="cellIs" dxfId="243" priority="277" operator="equal">
      <formula>7</formula>
    </cfRule>
    <cfRule type="cellIs" dxfId="242" priority="281" operator="equal">
      <formula>1</formula>
    </cfRule>
  </conditionalFormatting>
  <conditionalFormatting sqref="E13:E16 T20">
    <cfRule type="cellIs" dxfId="241" priority="278" operator="equal">
      <formula>2</formula>
    </cfRule>
    <cfRule type="cellIs" dxfId="240" priority="283" operator="equal">
      <formula>3</formula>
    </cfRule>
  </conditionalFormatting>
  <conditionalFormatting sqref="E13:E16">
    <cfRule type="containsText" dxfId="239" priority="235" operator="containsText" text="6 ind">
      <formula>NOT(ISERROR(SEARCH("6 ind",E13)))</formula>
    </cfRule>
    <cfRule type="containsText" dxfId="238" priority="236" operator="containsText" text="5 ind">
      <formula>NOT(ISERROR(SEARCH("5 ind",E13)))</formula>
    </cfRule>
    <cfRule type="containsText" dxfId="237" priority="237" operator="containsText" text="7 ind">
      <formula>NOT(ISERROR(SEARCH("7 ind",E13)))</formula>
    </cfRule>
    <cfRule type="containsText" dxfId="236" priority="238" operator="containsText" text="1 ind">
      <formula>NOT(ISERROR(SEARCH("1 ind",E13)))</formula>
    </cfRule>
    <cfRule type="containsText" dxfId="235" priority="239" operator="containsText" text="2 ind">
      <formula>NOT(ISERROR(SEARCH("2 ind",E13)))</formula>
    </cfRule>
    <cfRule type="containsText" dxfId="234" priority="240" operator="containsText" text="3 ind">
      <formula>NOT(ISERROR(SEARCH("3 ind",E13)))</formula>
    </cfRule>
    <cfRule type="containsText" dxfId="233" priority="241" operator="containsText" text="4 ind">
      <formula>NOT(ISERROR(SEARCH("4 ind",E13)))</formula>
    </cfRule>
    <cfRule type="cellIs" dxfId="232" priority="274" operator="equal">
      <formula>4</formula>
    </cfRule>
    <cfRule type="cellIs" dxfId="231" priority="275" operator="equal">
      <formula>5</formula>
    </cfRule>
    <cfRule type="cellIs" dxfId="230" priority="276" operator="equal">
      <formula>6</formula>
    </cfRule>
  </conditionalFormatting>
  <conditionalFormatting sqref="E22:E25">
    <cfRule type="cellIs" dxfId="229" priority="188" operator="equal">
      <formula>0</formula>
    </cfRule>
    <cfRule type="cellIs" dxfId="228" priority="189" operator="equal">
      <formula>7</formula>
    </cfRule>
    <cfRule type="cellIs" dxfId="227" priority="190" operator="equal">
      <formula>2</formula>
    </cfRule>
    <cfRule type="cellIs" dxfId="226" priority="191" operator="equal">
      <formula>6</formula>
    </cfRule>
    <cfRule type="cellIs" dxfId="225" priority="192" operator="equal">
      <formula>5</formula>
    </cfRule>
    <cfRule type="cellIs" dxfId="224" priority="193" operator="equal">
      <formula>1</formula>
    </cfRule>
    <cfRule type="cellIs" dxfId="223" priority="195" operator="equal">
      <formula>3</formula>
    </cfRule>
    <cfRule type="cellIs" dxfId="222" priority="196" operator="equal">
      <formula>4</formula>
    </cfRule>
  </conditionalFormatting>
  <conditionalFormatting sqref="H13:H16">
    <cfRule type="containsText" dxfId="221" priority="231" operator="containsText" text="rischio inaccettabile - abbattimento o controllo del rischio">
      <formula>NOT(ISERROR(SEARCH("rischio inaccettabile - abbattimento o controllo del rischio",H13)))</formula>
    </cfRule>
    <cfRule type="containsText" dxfId="220" priority="232" operator="containsText" text="rischio tollerabile per accordo ma inaccettabile se imposto a terzi">
      <formula>NOT(ISERROR(SEARCH("rischio tollerabile per accordo ma inaccettabile se imposto a terzi",H13)))</formula>
    </cfRule>
    <cfRule type="containsText" dxfId="219" priority="233" operator="containsText" text="rischio tollerabile se ALARP - valutare costi/benefici del controllo">
      <formula>NOT(ISERROR(SEARCH("rischio tollerabile se ALARP - valutare costi/benefici del controllo",H13)))</formula>
    </cfRule>
    <cfRule type="containsText" dxfId="218" priority="234" operator="containsText" text="rischio largamente accettabile">
      <formula>NOT(ISERROR(SEARCH("rischio largamente accettabile",H13)))</formula>
    </cfRule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ellIs" dxfId="217" priority="35" operator="equal">
      <formula>7</formula>
    </cfRule>
    <cfRule type="cellIs" dxfId="216" priority="36" operator="equal">
      <formula>2</formula>
    </cfRule>
    <cfRule type="cellIs" dxfId="215" priority="37" operator="equal">
      <formula>6</formula>
    </cfRule>
    <cfRule type="cellIs" dxfId="214" priority="38" operator="equal">
      <formula>5</formula>
    </cfRule>
    <cfRule type="cellIs" dxfId="213" priority="39" operator="equal">
      <formula>1</formula>
    </cfRule>
    <cfRule type="cellIs" dxfId="212" priority="41" operator="equal">
      <formula>3</formula>
    </cfRule>
    <cfRule type="cellIs" dxfId="211" priority="42" operator="equal">
      <formula>4</formula>
    </cfRule>
  </conditionalFormatting>
  <conditionalFormatting sqref="J29:J30">
    <cfRule type="cellIs" dxfId="210" priority="252" operator="equal">
      <formula>"IN ATTESA DI VERIFICA"</formula>
    </cfRule>
    <cfRule type="cellIs" dxfId="209" priority="253" operator="equal">
      <formula>"""IN ATTESA DI VERIFICA"""</formula>
    </cfRule>
    <cfRule type="cellIs" dxfId="208" priority="254" operator="equal">
      <formula>"non accettabile"</formula>
    </cfRule>
    <cfRule type="cellIs" dxfId="207" priority="255" operator="equal">
      <formula>"tollerabile"</formula>
    </cfRule>
    <cfRule type="cellIs" dxfId="206" priority="256" operator="equal">
      <formula>"non tollerabile se imposto a terzi"</formula>
    </cfRule>
    <cfRule type="cellIs" dxfId="205" priority="257" operator="equal">
      <formula>"largamente accettabile"</formula>
    </cfRule>
  </conditionalFormatting>
  <conditionalFormatting sqref="L20">
    <cfRule type="cellIs" dxfId="204" priority="292" operator="equal">
      <formula>2</formula>
    </cfRule>
    <cfRule type="cellIs" dxfId="203" priority="293" operator="equal">
      <formula>3</formula>
    </cfRule>
    <cfRule type="cellIs" dxfId="202" priority="294" operator="equal">
      <formula>1</formula>
    </cfRule>
    <cfRule type="cellIs" dxfId="201" priority="295" operator="equal">
      <formula>4</formula>
    </cfRule>
    <cfRule type="cellIs" dxfId="200" priority="296" operator="between">
      <formula>1</formula>
      <formula>3</formula>
    </cfRule>
    <cfRule type="cellIs" dxfId="199" priority="297" operator="equal">
      <formula>4</formula>
    </cfRule>
  </conditionalFormatting>
  <conditionalFormatting sqref="L20:M20">
    <cfRule type="cellIs" dxfId="198" priority="13" operator="equal">
      <formula>2</formula>
    </cfRule>
    <cfRule type="cellIs" dxfId="197" priority="14" operator="equal">
      <formula>6</formula>
    </cfRule>
    <cfRule type="cellIs" dxfId="196" priority="15" operator="equal">
      <formula>5</formula>
    </cfRule>
    <cfRule type="cellIs" dxfId="195" priority="17" operator="equal">
      <formula>3</formula>
    </cfRule>
  </conditionalFormatting>
  <conditionalFormatting sqref="M20">
    <cfRule type="cellIs" dxfId="194" priority="16" operator="equal">
      <formula>1</formula>
    </cfRule>
    <cfRule type="cellIs" dxfId="193" priority="18" operator="equal">
      <formula>4</formula>
    </cfRule>
  </conditionalFormatting>
  <conditionalFormatting sqref="O29:O30">
    <cfRule type="cellIs" dxfId="192" priority="199" operator="equal">
      <formula>"IN ATTESA DI VERIFICA"</formula>
    </cfRule>
    <cfRule type="cellIs" dxfId="191" priority="200" operator="equal">
      <formula>"""IN ATTESA DI VERIFICA"""</formula>
    </cfRule>
    <cfRule type="cellIs" dxfId="190" priority="201" operator="equal">
      <formula>"non accettabile"</formula>
    </cfRule>
    <cfRule type="cellIs" dxfId="189" priority="202" operator="equal">
      <formula>"tollerabile"</formula>
    </cfRule>
    <cfRule type="cellIs" dxfId="188" priority="203" operator="equal">
      <formula>"non tollerabile se imposto a terzi"</formula>
    </cfRule>
    <cfRule type="cellIs" dxfId="187" priority="204" operator="equal">
      <formula>"largamente accettabile"</formula>
    </cfRule>
  </conditionalFormatting>
  <conditionalFormatting sqref="R19">
    <cfRule type="cellIs" dxfId="186" priority="19" operator="equal">
      <formula>7</formula>
    </cfRule>
    <cfRule type="cellIs" dxfId="185" priority="20" operator="equal">
      <formula>2</formula>
    </cfRule>
    <cfRule type="cellIs" dxfId="184" priority="21" operator="equal">
      <formula>6</formula>
    </cfRule>
    <cfRule type="cellIs" dxfId="183" priority="22" operator="equal">
      <formula>5</formula>
    </cfRule>
    <cfRule type="cellIs" dxfId="182" priority="23" operator="equal">
      <formula>1</formula>
    </cfRule>
    <cfRule type="cellIs" dxfId="181" priority="25" operator="equal">
      <formula>3</formula>
    </cfRule>
    <cfRule type="cellIs" dxfId="180" priority="26" operator="equal">
      <formula>4</formula>
    </cfRule>
  </conditionalFormatting>
  <conditionalFormatting sqref="R22">
    <cfRule type="containsText" dxfId="179" priority="1" operator="containsText" text="Valutazione opportuna ma non urgente">
      <formula>NOT(ISERROR(SEARCH("Valutazione opportuna ma non urgente",R22)))</formula>
    </cfRule>
    <cfRule type="containsText" dxfId="178" priority="2" operator="containsText" text="Valutazione immediata - risoluzione dell’emergenza">
      <formula>NOT(ISERROR(SEARCH("Valutazione immediata - risoluzione dell’emergenza",R22)))</formula>
    </cfRule>
    <cfRule type="containsText" dxfId="177" priority="3" operator="containsText" text="Risoluzione dell’emergenza">
      <formula>NOT(ISERROR(SEARCH("Risoluzione dell’emergenza",R22)))</formula>
    </cfRule>
    <cfRule type="containsText" dxfId="176" priority="4" operator="containsText" text="Valutazione urgente">
      <formula>NOT(ISERROR(SEARCH("Valutazione urgente",R22)))</formula>
    </cfRule>
    <cfRule type="containsText" dxfId="175" priority="5" operator="containsText" text="Valutazione opportuna entro breve tempo">
      <formula>NOT(ISERROR(SEARCH("Valutazione opportuna entro breve tempo",R22)))</formula>
    </cfRule>
    <cfRule type="containsText" dxfId="174" priority="6" operator="containsText" text="Valutazione procrastinabile">
      <formula>NOT(ISERROR(SEARCH("Valutazione procrastinabile",R22)))</formula>
    </cfRule>
  </conditionalFormatting>
  <conditionalFormatting sqref="T20">
    <cfRule type="cellIs" dxfId="173" priority="279" operator="equal">
      <formula>6</formula>
    </cfRule>
    <cfRule type="cellIs" dxfId="172" priority="280" operator="equal">
      <formula>5</formula>
    </cfRule>
    <cfRule type="cellIs" dxfId="171" priority="284" operator="equal">
      <formula>2</formula>
    </cfRule>
    <cfRule type="cellIs" dxfId="170" priority="285" operator="equal">
      <formula>3</formula>
    </cfRule>
    <cfRule type="cellIs" dxfId="169" priority="286" operator="equal">
      <formula>1</formula>
    </cfRule>
    <cfRule type="cellIs" dxfId="168" priority="287" operator="equal">
      <formula>4</formula>
    </cfRule>
    <cfRule type="cellIs" dxfId="167" priority="288" operator="between">
      <formula>1</formula>
      <formula>3</formula>
    </cfRule>
    <cfRule type="cellIs" dxfId="166" priority="289" operator="equal">
      <formula>4</formula>
    </cfRule>
    <cfRule type="colorScale" priority="290">
      <colorScale>
        <cfvo type="num" val="1"/>
        <cfvo type="num" val="5"/>
        <cfvo type="num" val="10"/>
        <color rgb="FF00B050"/>
        <color rgb="FFFFFF00"/>
        <color rgb="FFFF0000"/>
      </colorScale>
    </cfRule>
    <cfRule type="colorScale" priority="291">
      <colorScale>
        <cfvo type="num" val="0"/>
        <cfvo type="num" val="5"/>
        <cfvo type="num" val="10"/>
        <color rgb="FFFF0000"/>
        <color rgb="FFFFFF00"/>
        <color rgb="FF00B050"/>
      </colorScale>
    </cfRule>
  </conditionalFormatting>
  <conditionalFormatting sqref="AA28:AA33">
    <cfRule type="cellIs" dxfId="165" priority="1424" operator="equal">
      <formula>#REF!</formula>
    </cfRule>
  </conditionalFormatting>
  <dataValidations count="3">
    <dataValidation operator="lessThan" allowBlank="1" showInputMessage="1" showErrorMessage="1" sqref="E22:E25" xr:uid="{219C942E-C0CA-43EF-8D20-511AB121D87C}"/>
    <dataValidation type="list" allowBlank="1" showInputMessage="1" showErrorMessage="1" sqref="C20:H20" xr:uid="{B3173403-9393-4ABD-9457-1D25549751FA}">
      <formula1>$BD$7:$BD$13</formula1>
    </dataValidation>
    <dataValidation type="list" allowBlank="1" showInputMessage="1" showErrorMessage="1" sqref="M20:Q20" xr:uid="{B5687FAD-D207-4A86-93B8-755687BD382C}">
      <formula1>$BD$20:$BD$26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ignoredErrors>
    <ignoredError sqref="E11" evalError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xr:uid="{1ED969B0-D1A8-4ECF-8AFD-3E59F568C8F3}">
          <x14:formula1>
            <xm:f>A!$G$19:$G$32</xm:f>
          </x14:formula1>
          <xm:sqref>L29:N30</xm:sqref>
        </x14:dataValidation>
        <x14:dataValidation type="list" allowBlank="1" showInputMessage="1" xr:uid="{DA2DF0BD-2304-4A79-BBEA-CFC0C5DEE5B7}">
          <x14:formula1>
            <xm:f>A!$E$4:$E$15</xm:f>
          </x14:formula1>
          <xm:sqref>T29:U30</xm:sqref>
        </x14:dataValidation>
        <x14:dataValidation type="list" allowBlank="1" showInputMessage="1" showErrorMessage="1" xr:uid="{03DF29C0-C839-4D0B-9C72-58B0D6D91FF3}">
          <x14:formula1>
            <xm:f>A!$BG$4:$BG$11</xm:f>
          </x14:formula1>
          <xm:sqref>C19 N19</xm:sqref>
        </x14:dataValidation>
        <x14:dataValidation type="list" allowBlank="1" showInputMessage="1" showErrorMessage="1" xr:uid="{77DF86C1-CFA3-462F-8BC0-71539A8BDEFB}">
          <x14:formula1>
            <xm:f>A!$AE$12:$AE$16</xm:f>
          </x14:formula1>
          <xm:sqref>S8:U8</xm:sqref>
        </x14:dataValidation>
        <x14:dataValidation type="list" allowBlank="1" showInputMessage="1" showErrorMessage="1" xr:uid="{C7EB721E-D694-440E-865C-167E9E2D137F}">
          <x14:formula1>
            <xm:f>A!$S$4:$S$10</xm:f>
          </x14:formula1>
          <xm:sqref>N7:Q7</xm:sqref>
        </x14:dataValidation>
        <x14:dataValidation type="list" allowBlank="1" showInputMessage="1" showErrorMessage="1" xr:uid="{8BA98E83-C7A4-4F03-BB5A-CBB7A3EBEF38}">
          <x14:formula1>
            <xm:f>A!$AB$4:$AB$11</xm:f>
          </x14:formula1>
          <xm:sqref>G7:H7</xm:sqref>
        </x14:dataValidation>
        <x14:dataValidation type="list" allowBlank="1" showInputMessage="1" showErrorMessage="1" xr:uid="{C8C56E91-1FA1-4C3B-893E-D7F09BD39BA7}">
          <x14:formula1>
            <xm:f>A!$AI$4:$AI$110</xm:f>
          </x14:formula1>
          <xm:sqref>C8</xm:sqref>
        </x14:dataValidation>
        <x14:dataValidation type="list" allowBlank="1" showInputMessage="1" showErrorMessage="1" xr:uid="{283549BC-0C6E-4B4A-B476-7C64CCB792A5}">
          <x14:formula1>
            <xm:f>A!$AE$4:$AE$9</xm:f>
          </x14:formula1>
          <xm:sqref>S7:U7</xm:sqref>
        </x14:dataValidation>
        <x14:dataValidation type="list" allowBlank="1" showInputMessage="1" showErrorMessage="1" xr:uid="{C56FE657-55F5-450C-B355-07E0FE49DC03}">
          <x14:formula1>
            <xm:f>A!$V$4:$V$27</xm:f>
          </x14:formula1>
          <xm:sqref>C7:D7</xm:sqref>
        </x14:dataValidation>
        <x14:dataValidation type="list" allowBlank="1" showInputMessage="1" showErrorMessage="1" xr:uid="{EA739877-4E20-4EA5-8DDB-61107353ADF5}">
          <x14:formula1>
            <xm:f>A!$AU$35:$AU$45</xm:f>
          </x14:formula1>
          <xm:sqref>G11</xm:sqref>
        </x14:dataValidation>
        <x14:dataValidation type="list" allowBlank="1" showInputMessage="1" showErrorMessage="1" xr:uid="{BC8B2B68-10DC-415D-9304-76A2E3A2A6FE}">
          <x14:formula1>
            <xm:f>A!$B$17:$B$23</xm:f>
          </x14:formula1>
          <xm:sqref>E13:G16</xm:sqref>
        </x14:dataValidation>
        <x14:dataValidation type="list" allowBlank="1" showInputMessage="1" showErrorMessage="1" xr:uid="{141C77B5-4D31-43EF-A747-B313ADC2D5AB}">
          <x14:formula1>
            <xm:f>A!$G$4:$G$15</xm:f>
          </x14:formula1>
          <xm:sqref>J29:K30 O29:P30</xm:sqref>
        </x14:dataValidation>
        <x14:dataValidation type="list" allowBlank="1" showInputMessage="1" xr:uid="{5ADADCB9-FC4E-4279-8E78-D591385CE9D7}">
          <x14:formula1>
            <xm:f>A!$E$18:$E$34</xm:f>
          </x14:formula1>
          <xm:sqref>Q29:S30</xm:sqref>
        </x14:dataValidation>
        <x14:dataValidation type="list" allowBlank="1" showInputMessage="1" xr:uid="{BE8FB484-840C-486E-946D-5EA449605565}">
          <x14:formula1>
            <xm:f>A!$C$27:$C$74</xm:f>
          </x14:formula1>
          <xm:sqref>B29:I30</xm:sqref>
        </x14:dataValidation>
        <x14:dataValidation type="list" allowBlank="1" showInputMessage="1" showErrorMessage="1" xr:uid="{E59F2B09-CB40-48F0-B5C1-A6DE0E56C515}">
          <x14:formula1>
            <xm:f>A!$Y$4:$Y$12</xm:f>
          </x14:formula1>
          <xm:sqref>J7:L7</xm:sqref>
        </x14:dataValidation>
        <x14:dataValidation type="list" allowBlank="1" showInputMessage="1" showErrorMessage="1" xr:uid="{A4796CAB-2DC8-44AF-8361-0D8B6F3B75A0}">
          <x14:formula1>
            <xm:f>A!$I$4:$I$26</xm:f>
          </x14:formula1>
          <xm:sqref>L8:P8</xm:sqref>
        </x14:dataValidation>
        <x14:dataValidation type="list" allowBlank="1" showInputMessage="1" showErrorMessage="1" xr:uid="{D20BBFD0-D6EA-4691-9E53-712C906F44D1}">
          <x14:formula1>
            <xm:f>A!$K$5:$K$167</xm:f>
          </x14:formula1>
          <xm:sqref>I6</xm:sqref>
        </x14:dataValidation>
        <x14:dataValidation type="list" allowBlank="1" showInputMessage="1" showErrorMessage="1" xr:uid="{7B25EEA4-6A7E-497E-92ED-F469512F6574}">
          <x14:formula1>
            <xm:f>A!$K$4:$K$250</xm:f>
          </x14:formula1>
          <xm:sqref>J6:Q6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9DF2-1B87-48F3-89E5-6B00188F3D70}">
  <sheetPr codeName="Foglio2">
    <tabColor rgb="FFFFC000"/>
    <pageSetUpPr fitToPage="1"/>
  </sheetPr>
  <dimension ref="A1:BU177"/>
  <sheetViews>
    <sheetView showGridLines="0" tabSelected="1" zoomScaleNormal="100" workbookViewId="0">
      <selection activeCell="U6" sqref="U6"/>
    </sheetView>
  </sheetViews>
  <sheetFormatPr defaultColWidth="9" defaultRowHeight="15.6" x14ac:dyDescent="0.3"/>
  <cols>
    <col min="1" max="1" width="1.69921875" style="3" customWidth="1"/>
    <col min="2" max="3" width="6.69921875" style="3" customWidth="1"/>
    <col min="4" max="4" width="8.19921875" style="3" customWidth="1"/>
    <col min="5" max="6" width="3.69921875" style="3" customWidth="1"/>
    <col min="7" max="8" width="6.69921875" style="3" customWidth="1"/>
    <col min="9" max="9" width="8.19921875" style="3" customWidth="1"/>
    <col min="10" max="11" width="3.69921875" style="3" customWidth="1"/>
    <col min="12" max="13" width="6.69921875" style="3" customWidth="1"/>
    <col min="14" max="14" width="8.19921875" style="3" customWidth="1"/>
    <col min="15" max="15" width="4.19921875" style="3" customWidth="1"/>
    <col min="16" max="16" width="3.69921875" style="3" customWidth="1"/>
    <col min="17" max="18" width="6.69921875" style="3" customWidth="1"/>
    <col min="19" max="19" width="8.19921875" style="3" customWidth="1"/>
    <col min="20" max="21" width="3.69921875" style="3" customWidth="1"/>
    <col min="22" max="22" width="1.69921875" style="3" customWidth="1"/>
    <col min="23" max="23" width="5.796875" style="3" hidden="1" customWidth="1"/>
    <col min="24" max="25" width="6" style="3" hidden="1" customWidth="1"/>
    <col min="26" max="26" width="12.5" style="3" hidden="1" customWidth="1"/>
    <col min="27" max="27" width="18.796875" style="3" hidden="1" customWidth="1"/>
    <col min="28" max="28" width="22" style="110" hidden="1" customWidth="1"/>
    <col min="29" max="29" width="19.19921875" style="3" hidden="1" customWidth="1"/>
    <col min="30" max="30" width="17.296875" style="110" hidden="1" customWidth="1"/>
    <col min="31" max="31" width="19.19921875" style="3" hidden="1" customWidth="1"/>
    <col min="32" max="32" width="22.19921875" style="110" hidden="1" customWidth="1"/>
    <col min="33" max="33" width="17.5" style="3" hidden="1" customWidth="1"/>
    <col min="34" max="34" width="17.19921875" style="110" hidden="1" customWidth="1"/>
    <col min="35" max="35" width="18.19921875" style="3" hidden="1" customWidth="1"/>
    <col min="36" max="36" width="22.19921875" style="110" hidden="1" customWidth="1"/>
    <col min="37" max="37" width="17.296875" style="3" hidden="1" customWidth="1"/>
    <col min="38" max="38" width="14.69921875" style="110" hidden="1" customWidth="1"/>
    <col min="39" max="39" width="10.19921875" style="3" hidden="1" customWidth="1"/>
    <col min="40" max="40" width="24.19921875" style="3" hidden="1" customWidth="1"/>
    <col min="41" max="41" width="9" style="3" hidden="1" customWidth="1"/>
    <col min="42" max="42" width="7.69921875" style="3" hidden="1" customWidth="1"/>
    <col min="43" max="43" width="26.69921875" style="3" hidden="1" customWidth="1"/>
    <col min="44" max="44" width="13" style="3" hidden="1" customWidth="1"/>
    <col min="45" max="45" width="9" style="3" hidden="1" customWidth="1"/>
    <col min="46" max="46" width="12.5" style="3" hidden="1" customWidth="1"/>
    <col min="47" max="47" width="11.19921875" style="3" hidden="1" customWidth="1"/>
    <col min="48" max="48" width="9" style="3" hidden="1" customWidth="1"/>
    <col min="49" max="49" width="9.19921875" style="3" hidden="1" customWidth="1"/>
    <col min="50" max="50" width="10.19921875" style="3" hidden="1" customWidth="1"/>
    <col min="51" max="52" width="9" style="3" hidden="1" customWidth="1"/>
    <col min="53" max="53" width="26.69921875" style="3" hidden="1" customWidth="1"/>
    <col min="54" max="54" width="11.69921875" style="3" hidden="1" customWidth="1"/>
    <col min="55" max="62" width="9" style="3" hidden="1" customWidth="1"/>
    <col min="63" max="63" width="10.69921875" style="3" hidden="1" customWidth="1"/>
    <col min="64" max="68" width="9" style="3" hidden="1" customWidth="1"/>
    <col min="69" max="69" width="28.69921875" style="3" hidden="1" customWidth="1"/>
    <col min="70" max="71" width="9" style="3" hidden="1" customWidth="1"/>
    <col min="72" max="72" width="4.796875" style="3" hidden="1" customWidth="1"/>
    <col min="73" max="73" width="8.69921875" style="3" customWidth="1"/>
    <col min="74" max="74" width="6" style="3" customWidth="1"/>
    <col min="75" max="75" width="7.69921875" style="3" bestFit="1" customWidth="1"/>
    <col min="76" max="16384" width="9" style="3"/>
  </cols>
  <sheetData>
    <row r="1" spans="1:73" ht="13.5" customHeight="1" thickBot="1" x14ac:dyDescent="0.35">
      <c r="AA1" s="4" t="s">
        <v>470</v>
      </c>
      <c r="AB1" s="5"/>
      <c r="AC1" s="5" t="s">
        <v>465</v>
      </c>
      <c r="AD1" s="5"/>
      <c r="AE1" s="5" t="s">
        <v>1242</v>
      </c>
      <c r="AF1" s="5"/>
      <c r="AG1" s="5" t="s">
        <v>471</v>
      </c>
      <c r="AH1" s="5"/>
      <c r="AI1" s="5" t="s">
        <v>1243</v>
      </c>
      <c r="AJ1" s="5"/>
      <c r="AK1" s="5" t="s">
        <v>472</v>
      </c>
      <c r="AL1" s="6"/>
    </row>
    <row r="2" spans="1:73" ht="16.2" thickBot="1" x14ac:dyDescent="0.35">
      <c r="B2" s="7"/>
      <c r="C2" s="8"/>
      <c r="D2" s="503" t="s">
        <v>1699</v>
      </c>
      <c r="E2" s="606"/>
      <c r="F2" s="606"/>
      <c r="G2" s="606"/>
      <c r="H2" s="606"/>
      <c r="I2" s="606"/>
      <c r="J2" s="606"/>
      <c r="K2" s="606"/>
      <c r="L2" s="606"/>
      <c r="M2" s="606"/>
      <c r="N2" s="607"/>
      <c r="O2" s="9"/>
      <c r="P2" s="10"/>
      <c r="Q2" s="10"/>
      <c r="R2" s="11"/>
      <c r="S2" s="12"/>
      <c r="T2" s="10"/>
      <c r="U2" s="13"/>
      <c r="AA2" s="14"/>
      <c r="AB2" s="15" t="s">
        <v>1244</v>
      </c>
      <c r="AC2" s="16"/>
      <c r="AD2" s="15" t="s">
        <v>1245</v>
      </c>
      <c r="AE2" s="16"/>
      <c r="AF2" s="15" t="s">
        <v>1245</v>
      </c>
      <c r="AG2" s="16"/>
      <c r="AH2" s="15" t="s">
        <v>1245</v>
      </c>
      <c r="AI2" s="16"/>
      <c r="AJ2" s="15" t="s">
        <v>1245</v>
      </c>
      <c r="AK2" s="16"/>
      <c r="AL2" s="17" t="s">
        <v>1245</v>
      </c>
      <c r="AN2" s="18" t="s">
        <v>484</v>
      </c>
      <c r="AO2" s="19" t="e">
        <f>VLOOKUP($C$7,A!$V$4:$W$27,2,FALSE)</f>
        <v>#N/A</v>
      </c>
      <c r="AP2" s="20"/>
      <c r="AQ2" s="491" t="s">
        <v>1053</v>
      </c>
      <c r="AR2" s="492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</row>
    <row r="3" spans="1:73" ht="16.2" thickBot="1" x14ac:dyDescent="0.35">
      <c r="B3" s="22"/>
      <c r="C3" s="23"/>
      <c r="D3" s="608"/>
      <c r="E3" s="609"/>
      <c r="F3" s="609"/>
      <c r="G3" s="609"/>
      <c r="H3" s="609"/>
      <c r="I3" s="609"/>
      <c r="J3" s="609"/>
      <c r="K3" s="609"/>
      <c r="L3" s="609"/>
      <c r="M3" s="609"/>
      <c r="N3" s="610"/>
      <c r="O3" s="24"/>
      <c r="P3" s="489" t="s">
        <v>1703</v>
      </c>
      <c r="Q3" s="25"/>
      <c r="R3" s="25"/>
      <c r="S3" s="26"/>
      <c r="T3" s="25"/>
      <c r="U3" s="27"/>
      <c r="AA3" s="28" t="s">
        <v>165</v>
      </c>
      <c r="AB3" s="15" t="s">
        <v>1246</v>
      </c>
      <c r="AC3" s="15" t="s">
        <v>1247</v>
      </c>
      <c r="AD3" s="15" t="s">
        <v>1248</v>
      </c>
      <c r="AE3" s="3" t="s">
        <v>1249</v>
      </c>
      <c r="AF3" s="15" t="s">
        <v>1250</v>
      </c>
      <c r="AG3" s="15" t="s">
        <v>1251</v>
      </c>
      <c r="AH3" s="15" t="s">
        <v>1252</v>
      </c>
      <c r="AI3" s="15" t="s">
        <v>1253</v>
      </c>
      <c r="AJ3" s="15" t="s">
        <v>1254</v>
      </c>
      <c r="AK3" s="15" t="s">
        <v>1253</v>
      </c>
      <c r="AL3" s="17" t="s">
        <v>1255</v>
      </c>
      <c r="AQ3" s="29" t="s">
        <v>549</v>
      </c>
      <c r="AR3" s="30">
        <f>IF($H$9&lt;A!$BB$5,1/(1+EXP(-A!$AY$5*($H$9/A!$BA$5-A!$AZ$5))),1/(1+EXP(-A!$BC$5*($H$9/A!$BE$5-A!$BD$5))))</f>
        <v>1.1695102650555148E-3</v>
      </c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U3" s="3" t="s">
        <v>1619</v>
      </c>
    </row>
    <row r="4" spans="1:73" ht="16.2" thickBot="1" x14ac:dyDescent="0.35">
      <c r="B4" s="31"/>
      <c r="C4" s="488" t="s">
        <v>1702</v>
      </c>
      <c r="D4" s="608"/>
      <c r="E4" s="609"/>
      <c r="F4" s="609"/>
      <c r="G4" s="609"/>
      <c r="H4" s="609"/>
      <c r="I4" s="609"/>
      <c r="J4" s="609"/>
      <c r="K4" s="609"/>
      <c r="L4" s="609"/>
      <c r="M4" s="609"/>
      <c r="N4" s="610"/>
      <c r="O4" s="487"/>
      <c r="P4" s="25"/>
      <c r="Q4" s="25"/>
      <c r="S4" s="487"/>
      <c r="T4" s="512"/>
      <c r="U4" s="513"/>
      <c r="AA4" s="28" t="s">
        <v>1256</v>
      </c>
      <c r="AB4" s="15"/>
      <c r="AC4" s="15" t="s">
        <v>1257</v>
      </c>
      <c r="AD4" s="15"/>
      <c r="AE4" s="15" t="s">
        <v>1167</v>
      </c>
      <c r="AF4" s="15"/>
      <c r="AG4" s="15" t="s">
        <v>1258</v>
      </c>
      <c r="AH4" s="15"/>
      <c r="AI4" s="15" t="s">
        <v>156</v>
      </c>
      <c r="AJ4" s="15"/>
      <c r="AK4" s="15" t="s">
        <v>615</v>
      </c>
      <c r="AL4" s="17"/>
      <c r="AN4" s="18" t="s">
        <v>547</v>
      </c>
      <c r="AO4" s="19" t="e">
        <f>VLOOKUP($N$7,A!$S$4:$T$10,2,FALSE)</f>
        <v>#N/A</v>
      </c>
      <c r="AQ4" s="32" t="s">
        <v>168</v>
      </c>
      <c r="AR4" s="33">
        <f>1/(1+EXP(-A!$AY$6*($J$9/A!$BA$6-A!$AZ$6)))</f>
        <v>8.1625711531598897E-3</v>
      </c>
      <c r="AT4" s="34" t="s">
        <v>1636</v>
      </c>
      <c r="AU4" s="35"/>
      <c r="AV4" s="36"/>
      <c r="AW4" s="36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8"/>
      <c r="BK4" s="38"/>
      <c r="BL4" s="38"/>
      <c r="BM4" s="38"/>
      <c r="BN4" s="38"/>
      <c r="BO4" s="38"/>
      <c r="BP4" s="38"/>
      <c r="BQ4" s="38"/>
      <c r="BR4" s="38"/>
      <c r="BS4" s="39"/>
      <c r="BU4" s="40" t="s">
        <v>1601</v>
      </c>
    </row>
    <row r="5" spans="1:73" ht="15" customHeight="1" thickBot="1" x14ac:dyDescent="0.35">
      <c r="B5" s="514" t="s">
        <v>1579</v>
      </c>
      <c r="C5" s="515"/>
      <c r="D5" s="515"/>
      <c r="E5" s="515"/>
      <c r="F5" s="515"/>
      <c r="G5" s="515"/>
      <c r="H5" s="515"/>
      <c r="I5" s="515"/>
      <c r="J5" s="515"/>
      <c r="K5" s="515"/>
      <c r="L5" s="515"/>
      <c r="M5" s="515"/>
      <c r="N5" s="515"/>
      <c r="O5" s="515"/>
      <c r="P5" s="515"/>
      <c r="Q5" s="515"/>
      <c r="R5" s="515"/>
      <c r="S5" s="515"/>
      <c r="T5" s="515"/>
      <c r="U5" s="516"/>
      <c r="Y5" s="41"/>
      <c r="AA5" s="28" t="s">
        <v>149</v>
      </c>
      <c r="AB5" s="15"/>
      <c r="AC5" s="15" t="s">
        <v>131</v>
      </c>
      <c r="AD5" s="15"/>
      <c r="AE5" s="15" t="s">
        <v>1259</v>
      </c>
      <c r="AF5" s="15"/>
      <c r="AG5" s="15" t="s">
        <v>1260</v>
      </c>
      <c r="AH5" s="15"/>
      <c r="AI5" s="15" t="s">
        <v>1261</v>
      </c>
      <c r="AJ5" s="15"/>
      <c r="AK5" s="15" t="s">
        <v>616</v>
      </c>
      <c r="AL5" s="42"/>
      <c r="AQ5" s="32" t="s">
        <v>76</v>
      </c>
      <c r="AR5" s="33">
        <f>1/(1+EXP(-A!$AY$7*($C$9/A!$BA$7-A!$AZ$7)))</f>
        <v>4.5262222324053502E-4</v>
      </c>
      <c r="AT5" s="43"/>
      <c r="AU5" s="44"/>
      <c r="AV5" s="45"/>
      <c r="AW5" s="45"/>
      <c r="AX5" s="45"/>
      <c r="AY5" s="45"/>
      <c r="AZ5" s="45"/>
      <c r="BA5" s="46" t="s">
        <v>168</v>
      </c>
      <c r="BB5" s="46" t="s">
        <v>178</v>
      </c>
      <c r="BC5" s="45"/>
      <c r="BD5" s="45"/>
      <c r="BE5" s="45"/>
      <c r="BF5" s="45"/>
      <c r="BG5" s="45"/>
      <c r="BH5" s="45"/>
      <c r="BI5" s="45"/>
      <c r="BJ5" s="44"/>
      <c r="BK5" s="44"/>
      <c r="BL5" s="44"/>
      <c r="BM5" s="44"/>
      <c r="BN5" s="44"/>
      <c r="BO5" s="44"/>
      <c r="BP5" s="44"/>
      <c r="BQ5" s="47" t="s">
        <v>1630</v>
      </c>
      <c r="BR5" s="48"/>
      <c r="BS5" s="49"/>
      <c r="BU5" s="40"/>
    </row>
    <row r="6" spans="1:73" ht="15" customHeight="1" thickBot="1" x14ac:dyDescent="0.35">
      <c r="A6" s="50"/>
      <c r="B6" s="517" t="s">
        <v>473</v>
      </c>
      <c r="C6" s="518"/>
      <c r="D6" s="519"/>
      <c r="E6" s="519"/>
      <c r="F6" s="519"/>
      <c r="G6" s="52" t="s">
        <v>120</v>
      </c>
      <c r="H6" s="316"/>
      <c r="I6" s="53" t="s">
        <v>171</v>
      </c>
      <c r="J6" s="520"/>
      <c r="K6" s="520"/>
      <c r="L6" s="520"/>
      <c r="M6" s="520"/>
      <c r="N6" s="520"/>
      <c r="O6" s="520"/>
      <c r="P6" s="520"/>
      <c r="Q6" s="520"/>
      <c r="R6" s="54" t="s">
        <v>474</v>
      </c>
      <c r="S6" s="55" t="e">
        <f>VLOOKUP(J6,A!$K$5:$L$250,2,FALSE)&amp;" "&amp;U6</f>
        <v>#N/A</v>
      </c>
      <c r="T6" s="52" t="s">
        <v>461</v>
      </c>
      <c r="U6" s="729"/>
      <c r="Y6" s="56" t="s">
        <v>1616</v>
      </c>
      <c r="AA6" s="28" t="s">
        <v>162</v>
      </c>
      <c r="AB6" s="15"/>
      <c r="AC6" s="15" t="s">
        <v>1262</v>
      </c>
      <c r="AD6" s="15"/>
      <c r="AE6" s="15" t="s">
        <v>1263</v>
      </c>
      <c r="AF6" s="15"/>
      <c r="AG6" s="15" t="s">
        <v>1264</v>
      </c>
      <c r="AH6" s="15"/>
      <c r="AI6" s="15" t="s">
        <v>158</v>
      </c>
      <c r="AJ6" s="15"/>
      <c r="AK6" s="15" t="s">
        <v>614</v>
      </c>
      <c r="AL6" s="17"/>
      <c r="AN6" s="18" t="s">
        <v>512</v>
      </c>
      <c r="AO6" s="19" t="e">
        <f>VLOOKUP($J$7,A!$Y$4:$Z$12,2,FALSE)</f>
        <v>#N/A</v>
      </c>
      <c r="AQ6" s="32" t="s">
        <v>550</v>
      </c>
      <c r="AR6" s="33">
        <f>MAX($AR$3:$AR$5)+((1-MAX($AR$3:$AR$5))*((SUM($AR$3:$AR$5)-MAX($AR$3:$AR$5))/2))</f>
        <v>8.9670170113801302E-3</v>
      </c>
      <c r="AT6" s="43"/>
      <c r="AU6" s="44"/>
      <c r="AV6" s="45"/>
      <c r="AW6" s="45"/>
      <c r="AX6" s="45"/>
      <c r="AY6" s="45"/>
      <c r="AZ6" s="57" t="s">
        <v>1692</v>
      </c>
      <c r="BA6" s="58">
        <f>((J9+C9)/2)/1.111111</f>
        <v>0</v>
      </c>
      <c r="BB6" s="58">
        <f>$O$9/1.111111</f>
        <v>0</v>
      </c>
      <c r="BC6" s="45"/>
      <c r="BD6" s="45"/>
      <c r="BE6" s="45"/>
      <c r="BF6" s="45"/>
      <c r="BG6" s="45"/>
      <c r="BH6" s="45"/>
      <c r="BI6" s="45"/>
      <c r="BJ6" s="44"/>
      <c r="BK6" s="44"/>
      <c r="BL6" s="44"/>
      <c r="BM6" s="44"/>
      <c r="BN6" s="44"/>
      <c r="BO6" s="44"/>
      <c r="BP6" s="44"/>
      <c r="BQ6" s="59" t="s">
        <v>1629</v>
      </c>
      <c r="BR6" s="49"/>
      <c r="BS6" s="49"/>
      <c r="BU6" s="60" t="s">
        <v>1640</v>
      </c>
    </row>
    <row r="7" spans="1:73" ht="15" customHeight="1" thickBot="1" x14ac:dyDescent="0.35">
      <c r="B7" s="61" t="s">
        <v>484</v>
      </c>
      <c r="C7" s="521"/>
      <c r="D7" s="521"/>
      <c r="E7" s="522" t="s">
        <v>705</v>
      </c>
      <c r="F7" s="522"/>
      <c r="G7" s="670"/>
      <c r="H7" s="670"/>
      <c r="I7" s="62" t="s">
        <v>542</v>
      </c>
      <c r="J7" s="521"/>
      <c r="K7" s="521"/>
      <c r="L7" s="521"/>
      <c r="M7" s="63" t="s">
        <v>548</v>
      </c>
      <c r="N7" s="523"/>
      <c r="O7" s="523"/>
      <c r="P7" s="523"/>
      <c r="Q7" s="523"/>
      <c r="R7" s="62" t="s">
        <v>540</v>
      </c>
      <c r="S7" s="501"/>
      <c r="T7" s="501"/>
      <c r="U7" s="502"/>
      <c r="Y7" s="56" t="s">
        <v>1348</v>
      </c>
      <c r="AA7" s="28" t="s">
        <v>610</v>
      </c>
      <c r="AB7" s="15"/>
      <c r="AC7" s="15" t="s">
        <v>1265</v>
      </c>
      <c r="AD7" s="15"/>
      <c r="AE7" s="15" t="s">
        <v>1266</v>
      </c>
      <c r="AF7" s="15"/>
      <c r="AG7" s="15" t="s">
        <v>1267</v>
      </c>
      <c r="AH7" s="15"/>
      <c r="AI7" s="15" t="s">
        <v>644</v>
      </c>
      <c r="AJ7" s="15"/>
      <c r="AK7" s="15" t="s">
        <v>577</v>
      </c>
      <c r="AL7" s="42"/>
      <c r="AQ7" s="32" t="s">
        <v>551</v>
      </c>
      <c r="AR7" s="64" t="e">
        <f>($AO$2+$AO$4+$AO$6+$AO$8+$AO$10)/100</f>
        <v>#N/A</v>
      </c>
      <c r="AT7" s="65"/>
      <c r="AU7" s="66"/>
      <c r="AV7" s="45"/>
      <c r="AW7" s="45"/>
      <c r="AX7" s="45"/>
      <c r="AY7" s="45"/>
      <c r="AZ7" s="45"/>
      <c r="BA7" s="45" t="s">
        <v>176</v>
      </c>
      <c r="BB7" s="45" t="s">
        <v>177</v>
      </c>
      <c r="BC7" s="45"/>
      <c r="BD7" s="45"/>
      <c r="BE7" s="45"/>
      <c r="BF7" s="45"/>
      <c r="BG7" s="45"/>
      <c r="BH7" s="45"/>
      <c r="BI7" s="45"/>
      <c r="BJ7" s="44"/>
      <c r="BK7" s="44"/>
      <c r="BL7" s="44"/>
      <c r="BM7" s="44"/>
      <c r="BN7" s="44"/>
      <c r="BO7" s="44"/>
      <c r="BP7" s="44"/>
      <c r="BQ7" s="67">
        <f>ORD!$N$32</f>
        <v>0</v>
      </c>
      <c r="BR7" s="49"/>
      <c r="BS7" s="49"/>
    </row>
    <row r="8" spans="1:73" ht="15" customHeight="1" thickBot="1" x14ac:dyDescent="0.35">
      <c r="B8" s="51" t="s">
        <v>170</v>
      </c>
      <c r="C8" s="269"/>
      <c r="D8" s="671"/>
      <c r="E8" s="524"/>
      <c r="F8" s="524"/>
      <c r="G8" s="524"/>
      <c r="H8" s="524"/>
      <c r="I8" s="536" t="s">
        <v>1577</v>
      </c>
      <c r="J8" s="536"/>
      <c r="K8" s="536"/>
      <c r="L8" s="524"/>
      <c r="M8" s="524"/>
      <c r="N8" s="524"/>
      <c r="O8" s="524"/>
      <c r="P8" s="524"/>
      <c r="Q8" s="672" t="s">
        <v>1645</v>
      </c>
      <c r="R8" s="672"/>
      <c r="S8" s="614"/>
      <c r="T8" s="614"/>
      <c r="U8" s="615"/>
      <c r="W8" s="68"/>
      <c r="X8" s="68"/>
      <c r="Y8" s="69" t="s">
        <v>1349</v>
      </c>
      <c r="Z8" s="68"/>
      <c r="AA8" s="28" t="s">
        <v>1268</v>
      </c>
      <c r="AB8" s="15"/>
      <c r="AC8" s="15" t="s">
        <v>1166</v>
      </c>
      <c r="AD8" s="15"/>
      <c r="AE8" s="15" t="s">
        <v>1269</v>
      </c>
      <c r="AF8" s="15"/>
      <c r="AG8" s="15" t="s">
        <v>1270</v>
      </c>
      <c r="AH8" s="15"/>
      <c r="AI8" s="15"/>
      <c r="AJ8" s="15"/>
      <c r="AK8" s="15" t="s">
        <v>706</v>
      </c>
      <c r="AL8" s="17"/>
      <c r="AN8" s="18" t="s">
        <v>515</v>
      </c>
      <c r="AO8" s="19" t="e">
        <f>VLOOKUP($G$7,A!$AB$4:$AC$11,2,FALSE)</f>
        <v>#N/A</v>
      </c>
      <c r="AQ8" s="32" t="s">
        <v>552</v>
      </c>
      <c r="AR8" s="33" t="e">
        <f>$AR$6+(1-$AR$6)*$AR$7</f>
        <v>#N/A</v>
      </c>
      <c r="AT8" s="70"/>
      <c r="AU8" s="66" t="s">
        <v>179</v>
      </c>
      <c r="AV8" s="45"/>
      <c r="AW8" s="45"/>
      <c r="AX8" s="71"/>
      <c r="AY8" s="72"/>
      <c r="AZ8" s="72" t="s">
        <v>9</v>
      </c>
      <c r="BA8" s="73" t="e">
        <f>3600/$BA$6</f>
        <v>#DIV/0!</v>
      </c>
      <c r="BB8" s="73" t="e">
        <f>3600/$BB$6</f>
        <v>#DIV/0!</v>
      </c>
      <c r="BC8" s="73"/>
      <c r="BD8" s="45"/>
      <c r="BE8" s="45"/>
      <c r="BF8" s="44"/>
      <c r="BG8" s="44"/>
      <c r="BH8" s="45"/>
      <c r="BI8" s="44"/>
      <c r="BJ8" s="44"/>
      <c r="BK8" s="44"/>
      <c r="BL8" s="44"/>
      <c r="BM8" s="44"/>
      <c r="BN8" s="44"/>
      <c r="BO8" s="44"/>
      <c r="BP8" s="44"/>
      <c r="BQ8" s="59" t="s">
        <v>1627</v>
      </c>
      <c r="BR8" s="74" t="s">
        <v>1628</v>
      </c>
      <c r="BS8" s="74"/>
    </row>
    <row r="9" spans="1:73" ht="15" customHeight="1" thickBot="1" x14ac:dyDescent="0.35">
      <c r="A9" s="75"/>
      <c r="B9" s="76" t="s">
        <v>2</v>
      </c>
      <c r="C9" s="270"/>
      <c r="D9" s="77" t="s">
        <v>555</v>
      </c>
      <c r="E9" s="619"/>
      <c r="F9" s="619"/>
      <c r="G9" s="78" t="s">
        <v>475</v>
      </c>
      <c r="H9" s="79">
        <f>E9*PI()</f>
        <v>0</v>
      </c>
      <c r="I9" s="77" t="s">
        <v>1596</v>
      </c>
      <c r="J9" s="620"/>
      <c r="K9" s="620"/>
      <c r="L9" s="80" t="s">
        <v>1184</v>
      </c>
      <c r="M9" s="271"/>
      <c r="N9" s="77" t="s">
        <v>1185</v>
      </c>
      <c r="O9" s="621"/>
      <c r="P9" s="621"/>
      <c r="Q9" s="77" t="s">
        <v>531</v>
      </c>
      <c r="R9" s="271"/>
      <c r="S9" s="77" t="s">
        <v>1186</v>
      </c>
      <c r="T9" s="621"/>
      <c r="U9" s="622"/>
      <c r="V9" s="68"/>
      <c r="W9" s="68"/>
      <c r="X9" s="68"/>
      <c r="Y9" s="68"/>
      <c r="Z9" s="68"/>
      <c r="AA9" s="28" t="s">
        <v>1271</v>
      </c>
      <c r="AB9" s="15"/>
      <c r="AC9" s="15" t="s">
        <v>1272</v>
      </c>
      <c r="AD9" s="15"/>
      <c r="AE9" s="15" t="s">
        <v>598</v>
      </c>
      <c r="AF9" s="15"/>
      <c r="AG9" s="15" t="s">
        <v>574</v>
      </c>
      <c r="AH9" s="15"/>
      <c r="AI9" s="15" t="s">
        <v>157</v>
      </c>
      <c r="AJ9" s="15" t="s">
        <v>1273</v>
      </c>
      <c r="AK9" s="15" t="s">
        <v>613</v>
      </c>
      <c r="AL9" s="17"/>
      <c r="AQ9" s="32" t="s">
        <v>553</v>
      </c>
      <c r="AR9" s="81" t="e">
        <f>VLOOKUP($C$8,A!$AI$4:$AK$110,3,FALSE)</f>
        <v>#N/A</v>
      </c>
      <c r="AT9" s="65">
        <v>1</v>
      </c>
      <c r="AU9" s="66" t="e">
        <f>"da "&amp;ROUND(BA9,0)&amp;" a "&amp;ROUND(BA8,0)&amp;"  pedoni/ora"</f>
        <v>#DIV/0!</v>
      </c>
      <c r="AV9" s="45"/>
      <c r="AW9" s="45"/>
      <c r="AX9" s="45"/>
      <c r="AY9" s="45"/>
      <c r="AZ9" s="72" t="s">
        <v>16</v>
      </c>
      <c r="BA9" s="73" t="e">
        <f>BA$8/5</f>
        <v>#DIV/0!</v>
      </c>
      <c r="BB9" s="73" t="e">
        <f>BB$8/5</f>
        <v>#DIV/0!</v>
      </c>
      <c r="BC9" s="82"/>
      <c r="BD9" s="45"/>
      <c r="BE9" s="45"/>
      <c r="BF9" s="44"/>
      <c r="BG9" s="44"/>
      <c r="BH9" s="45"/>
      <c r="BI9" s="44"/>
      <c r="BJ9" s="44"/>
      <c r="BK9" s="44"/>
      <c r="BL9" s="44"/>
      <c r="BM9" s="44"/>
      <c r="BN9" s="44"/>
      <c r="BO9" s="44"/>
      <c r="BP9" s="44"/>
      <c r="BQ9" s="83" t="str">
        <f>IF(BQ7="proprietà",BQ32,IF(BQ7="occupazione",BQ42,IF(BQ7="pedoni/ciclisti",AU18,IF(BQ7="traffico 30 Km/h",AY59,IF(BQ7="traffico 50 km/h",AY51,IF(BQ7="traffico 70 Km/h",AY43,IF(BQ7="traffico 90 Km/h",AY35,IF(BQ7="traffico 110 km/h",AY27, " "))))))))</f>
        <v xml:space="preserve"> </v>
      </c>
      <c r="BR9" s="49">
        <v>1</v>
      </c>
      <c r="BS9" s="49"/>
      <c r="BU9" s="486" t="str">
        <f>IF($R$9&gt;$C$9,"CORREGGI ALTEZZA BRANCA","")</f>
        <v/>
      </c>
    </row>
    <row r="10" spans="1:73" ht="15" customHeight="1" thickBot="1" x14ac:dyDescent="0.35">
      <c r="B10" s="604" t="s">
        <v>1083</v>
      </c>
      <c r="C10" s="605"/>
      <c r="D10" s="84" t="e">
        <f>$G$10*A!BN19+$J$10*A!BN20+$M$10*A!BN21+$O$10*A!BN22</f>
        <v>#VALUE!</v>
      </c>
      <c r="E10" s="636" t="s">
        <v>1188</v>
      </c>
      <c r="F10" s="636"/>
      <c r="G10" s="86">
        <f>PI()/4*(E9/100)^2*C9*0.9*900</f>
        <v>0</v>
      </c>
      <c r="H10" s="636" t="s">
        <v>1189</v>
      </c>
      <c r="I10" s="636"/>
      <c r="J10" s="637" t="str">
        <f>IF(G10=0,"",IF(E12="Albero morto in piedi",0,($G$10/VLOOKUP($N$7,A!$BL$4:$BN$10,3,FALSE))*VLOOKUP($D$12,A!$BP$4:$BY$24,HLOOKUP($J$7,A!$BQ$2:$BY$3,2,FALSE),FALSE)))</f>
        <v/>
      </c>
      <c r="K10" s="637"/>
      <c r="L10" s="87" t="s">
        <v>1190</v>
      </c>
      <c r="M10" s="86" t="str">
        <f>IF(G10=0,"",IF($E$12="Albero morto in piedi",0,(($G$10/VLOOKUP($N$7,A!$BL$4:$BN$10,3,FALSE))*VLOOKUP($AO$12,A!$BP$4:$BY$24,HLOOKUP($J$7,A!$BQ$2:$BY$3,2,FALSE),FALSE))/44.01*31.999*0.9))</f>
        <v/>
      </c>
      <c r="N10" s="85" t="s">
        <v>1191</v>
      </c>
      <c r="O10" s="86" t="str">
        <f>IF(G10=0,"",IF($E$12="Albero morto in piedi",0,(($G$10*0.2)/VLOOKUP($N$7,A!$BL$4:$BN$10,3,FALSE))*VLOOKUP($AO$12,A!$BP$4:$BY$24,HLOOKUP($J$7,A!$BQ$2:$BY$3,2,FALSE),FALSE)))</f>
        <v/>
      </c>
      <c r="P10" s="638" t="s">
        <v>1664</v>
      </c>
      <c r="Q10" s="638"/>
      <c r="R10" s="638"/>
      <c r="S10" s="626" t="e">
        <f>D10+AR12</f>
        <v>#VALUE!</v>
      </c>
      <c r="T10" s="626"/>
      <c r="U10" s="627"/>
      <c r="AA10" s="28" t="s">
        <v>155</v>
      </c>
      <c r="AB10" s="15"/>
      <c r="AC10" s="15" t="s">
        <v>1274</v>
      </c>
      <c r="AD10" s="15"/>
      <c r="AE10" s="15"/>
      <c r="AF10" s="15"/>
      <c r="AG10" s="15"/>
      <c r="AH10" s="15"/>
      <c r="AI10" s="15" t="s">
        <v>606</v>
      </c>
      <c r="AJ10" s="15"/>
      <c r="AK10" s="15" t="s">
        <v>145</v>
      </c>
      <c r="AL10" s="42"/>
      <c r="AN10" s="18" t="s">
        <v>538</v>
      </c>
      <c r="AO10" s="19" t="e">
        <f>VLOOKUP($S$7,A!$AE$4:$AF$9,2,FALSE)</f>
        <v>#N/A</v>
      </c>
      <c r="AQ10" s="88" t="s">
        <v>554</v>
      </c>
      <c r="AR10" s="89" t="e">
        <f>VLOOKUP($S$8,A!$AE$12:$AF$16,2,FALSE)</f>
        <v>#N/A</v>
      </c>
      <c r="AT10" s="65">
        <v>2</v>
      </c>
      <c r="AU10" s="66" t="e">
        <f>"da "&amp;ROUND(BA11,0)&amp;" a "&amp;ROUND(BA9,0)&amp;"  pedoni/ora"</f>
        <v>#DIV/0!</v>
      </c>
      <c r="AV10" s="45"/>
      <c r="AW10" s="45"/>
      <c r="AX10" s="45"/>
      <c r="AY10" s="72"/>
      <c r="AZ10" s="72" t="s">
        <v>10</v>
      </c>
      <c r="BA10" s="73" t="e">
        <f>BA8/10</f>
        <v>#DIV/0!</v>
      </c>
      <c r="BB10" s="73" t="e">
        <f>BB8/10</f>
        <v>#DIV/0!</v>
      </c>
      <c r="BC10" s="82"/>
      <c r="BD10" s="45"/>
      <c r="BE10" s="45"/>
      <c r="BF10" s="44"/>
      <c r="BG10" s="44"/>
      <c r="BH10" s="45"/>
      <c r="BI10" s="44"/>
      <c r="BJ10" s="44"/>
      <c r="BK10" s="44"/>
      <c r="BL10" s="44"/>
      <c r="BM10" s="44"/>
      <c r="BN10" s="44"/>
      <c r="BO10" s="44"/>
      <c r="BP10" s="44"/>
      <c r="BQ10" s="83" t="str">
        <f>IF(BQ7="proprietà",BQ33,IF(BQ7="occupazione",BQ43,IF(BQ7="pedoni/ciclisti",AU19,IF(BQ7="traffico 30 Km/h",AY60,IF(BQ7="traffico 50 km/h",AY52,IF(BQ7="traffico 70 Km/h",AY44,IF(BQ7="traffico 90 Km/h",AY36,IF(BQ7="traffico 110 km/h",AY28, " "))))))))</f>
        <v xml:space="preserve"> </v>
      </c>
      <c r="BR10" s="49">
        <v>2</v>
      </c>
      <c r="BS10" s="49"/>
    </row>
    <row r="11" spans="1:73" ht="15" customHeight="1" thickBot="1" x14ac:dyDescent="0.35">
      <c r="B11" s="525" t="s">
        <v>1580</v>
      </c>
      <c r="C11" s="526"/>
      <c r="D11" s="526"/>
      <c r="E11" s="526"/>
      <c r="F11" s="526"/>
      <c r="G11" s="526"/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526"/>
      <c r="T11" s="526"/>
      <c r="U11" s="527"/>
      <c r="AA11" s="28"/>
      <c r="AB11" s="15"/>
      <c r="AC11" s="15" t="s">
        <v>1275</v>
      </c>
      <c r="AD11" s="15"/>
      <c r="AE11" s="90" t="s">
        <v>157</v>
      </c>
      <c r="AF11" s="15" t="s">
        <v>1276</v>
      </c>
      <c r="AG11" s="15" t="s">
        <v>157</v>
      </c>
      <c r="AH11" s="91" t="s">
        <v>1277</v>
      </c>
      <c r="AI11" s="15" t="s">
        <v>166</v>
      </c>
      <c r="AJ11" s="15"/>
      <c r="AK11" s="15" t="s">
        <v>576</v>
      </c>
      <c r="AL11" s="42"/>
      <c r="AQ11" s="92" t="s">
        <v>1032</v>
      </c>
      <c r="AR11" s="93" t="e">
        <f>IF($AR$8=0,0,IF($AR$8&lt;HLOOKUP($AR$10,A!$BA$8:$BE$10,3),$AR$9/(1+EXP(-HLOOKUP($AR$10,A!$BA$8:$BE$11,4)*($AR$8-HLOOKUP($AR$10,A!$BA$8:$BE$12,5)))),$AR$9/(1+EXP(-HLOOKUP($AR$10,A!$BA$8:$BE$9,2)*($AR$8-HLOOKUP($AR$10,A!$BA$8:$BE$10,3))))))</f>
        <v>#N/A</v>
      </c>
      <c r="AT11" s="65">
        <v>3</v>
      </c>
      <c r="AU11" s="66" t="e">
        <f>"da "&amp;ROUND(BA13,0)&amp;" pedoni/giorno a "&amp;ROUND(BA11,0)&amp;"  pedoni/ora"</f>
        <v>#DIV/0!</v>
      </c>
      <c r="AV11" s="45"/>
      <c r="AW11" s="45"/>
      <c r="AX11" s="45"/>
      <c r="AY11" s="45"/>
      <c r="AZ11" s="72" t="s">
        <v>17</v>
      </c>
      <c r="BA11" s="73" t="e">
        <f>BA$8/50</f>
        <v>#DIV/0!</v>
      </c>
      <c r="BB11" s="73" t="e">
        <f>BB$8/50</f>
        <v>#DIV/0!</v>
      </c>
      <c r="BC11" s="82"/>
      <c r="BD11" s="45"/>
      <c r="BE11" s="45"/>
      <c r="BF11" s="44"/>
      <c r="BG11" s="44"/>
      <c r="BH11" s="45"/>
      <c r="BI11" s="44"/>
      <c r="BJ11" s="44"/>
      <c r="BK11" s="44"/>
      <c r="BL11" s="44"/>
      <c r="BM11" s="44"/>
      <c r="BN11" s="44"/>
      <c r="BO11" s="44"/>
      <c r="BP11" s="44"/>
      <c r="BQ11" s="83" t="str">
        <f>IF(BQ7="proprietà",BQ34,IF(BQ7="occupazione",BQ44,IF(BQ7="pedoni/ciclisti",AU20,IF(BQ7="traffico 30 Km/h",AY61,IF(BQ7="traffico 50 km/h",AY53,IF(BQ7="traffico 70 Km/h",AY45,IF(BQ7="traffico 90 Km/h",AY37,IF(BQ7="traffico 110 km/h",AY29, " "))))))))</f>
        <v xml:space="preserve"> </v>
      </c>
      <c r="BR11" s="49">
        <v>3</v>
      </c>
      <c r="BS11" s="49"/>
    </row>
    <row r="12" spans="1:73" ht="15" customHeight="1" thickBot="1" x14ac:dyDescent="0.35">
      <c r="B12" s="649" t="s">
        <v>1602</v>
      </c>
      <c r="C12" s="650"/>
      <c r="D12" s="673" t="e">
        <f>$AO$12</f>
        <v>#N/A</v>
      </c>
      <c r="E12" s="675"/>
      <c r="F12" s="676"/>
      <c r="G12" s="676"/>
      <c r="H12" s="676"/>
      <c r="I12" s="676"/>
      <c r="J12" s="676"/>
      <c r="K12" s="676"/>
      <c r="L12" s="676"/>
      <c r="M12" s="676"/>
      <c r="N12" s="677"/>
      <c r="O12" s="681" t="s">
        <v>1239</v>
      </c>
      <c r="P12" s="682"/>
      <c r="Q12" s="682"/>
      <c r="R12" s="683"/>
      <c r="S12" s="683"/>
      <c r="T12" s="683"/>
      <c r="U12" s="684"/>
      <c r="V12" s="94"/>
      <c r="AA12" s="28" t="s">
        <v>1278</v>
      </c>
      <c r="AB12" s="15" t="s">
        <v>1279</v>
      </c>
      <c r="AC12" s="15" t="s">
        <v>1280</v>
      </c>
      <c r="AD12" s="15"/>
      <c r="AE12" s="15" t="s">
        <v>1281</v>
      </c>
      <c r="AF12" s="15"/>
      <c r="AG12" s="15" t="s">
        <v>1282</v>
      </c>
      <c r="AH12" s="95"/>
      <c r="AI12" s="15" t="s">
        <v>608</v>
      </c>
      <c r="AJ12" s="15"/>
      <c r="AK12" s="15" t="s">
        <v>1283</v>
      </c>
      <c r="AL12" s="17"/>
      <c r="AN12" s="18" t="s">
        <v>1050</v>
      </c>
      <c r="AO12" s="19" t="e">
        <f>VLOOKUP($E$12,A!$AU$35:$AV$45,2,FALSE)</f>
        <v>#N/A</v>
      </c>
      <c r="AQ12" s="92" t="s">
        <v>1033</v>
      </c>
      <c r="AR12" s="96" t="e">
        <f>$AR$11-$AR$11*($AO$12/100)</f>
        <v>#N/A</v>
      </c>
      <c r="AT12" s="65">
        <v>4</v>
      </c>
      <c r="AU12" s="66" t="e">
        <f>"da "&amp;ROUND(BA15,1)&amp;" a "&amp;ROUND(BA13,1)&amp;"  pedoni/giorno"</f>
        <v>#DIV/0!</v>
      </c>
      <c r="AV12" s="45"/>
      <c r="AW12" s="45"/>
      <c r="AX12" s="45"/>
      <c r="AY12" s="72"/>
      <c r="AZ12" s="72" t="s">
        <v>11</v>
      </c>
      <c r="BA12" s="73" t="e">
        <f>BA10/10</f>
        <v>#DIV/0!</v>
      </c>
      <c r="BB12" s="73" t="e">
        <f>BB10/10</f>
        <v>#DIV/0!</v>
      </c>
      <c r="BC12" s="82"/>
      <c r="BD12" s="45"/>
      <c r="BE12" s="45"/>
      <c r="BF12" s="44"/>
      <c r="BG12" s="44"/>
      <c r="BH12" s="45"/>
      <c r="BI12" s="44"/>
      <c r="BJ12" s="44"/>
      <c r="BK12" s="44"/>
      <c r="BL12" s="44"/>
      <c r="BM12" s="44"/>
      <c r="BN12" s="44"/>
      <c r="BO12" s="44"/>
      <c r="BP12" s="44"/>
      <c r="BQ12" s="83" t="str">
        <f>IF(BQ7="proprietà",BQ35,IF(BQ7="occupazione",BQ45,IF(BQ7="pedoni/ciclisti",AU21,IF(BQ7="traffico 30 Km/h",AY62,IF(BQ7="traffico 50 km/h",AY54,IF(BQ7="traffico 70 Km/h",AY46,IF(BQ7="traffico 90 Km/h",AY38,IF(BQ7="traffico 110 km/h",AY30, " "))))))))</f>
        <v xml:space="preserve"> </v>
      </c>
      <c r="BR12" s="49">
        <v>4</v>
      </c>
      <c r="BS12" s="49"/>
      <c r="BU12" s="60" t="s">
        <v>1625</v>
      </c>
    </row>
    <row r="13" spans="1:73" ht="15" customHeight="1" x14ac:dyDescent="0.3">
      <c r="B13" s="651"/>
      <c r="C13" s="652"/>
      <c r="D13" s="674"/>
      <c r="E13" s="678"/>
      <c r="F13" s="679"/>
      <c r="G13" s="679"/>
      <c r="H13" s="679"/>
      <c r="I13" s="679"/>
      <c r="J13" s="679"/>
      <c r="K13" s="679"/>
      <c r="L13" s="679"/>
      <c r="M13" s="679"/>
      <c r="N13" s="680"/>
      <c r="O13" s="681" t="s">
        <v>1238</v>
      </c>
      <c r="P13" s="682"/>
      <c r="Q13" s="682"/>
      <c r="R13" s="683"/>
      <c r="S13" s="683"/>
      <c r="T13" s="683"/>
      <c r="U13" s="684"/>
      <c r="V13" s="97"/>
      <c r="AA13" s="98" t="s">
        <v>638</v>
      </c>
      <c r="AB13" s="15"/>
      <c r="AC13" s="15" t="s">
        <v>593</v>
      </c>
      <c r="AD13" s="15"/>
      <c r="AE13" s="99" t="s">
        <v>1284</v>
      </c>
      <c r="AF13" s="15"/>
      <c r="AG13" s="15" t="s">
        <v>1285</v>
      </c>
      <c r="AH13" s="100"/>
      <c r="AI13" s="15" t="s">
        <v>1282</v>
      </c>
      <c r="AJ13" s="95"/>
      <c r="AK13" s="15" t="s">
        <v>1695</v>
      </c>
      <c r="AL13" s="42"/>
      <c r="AT13" s="65">
        <v>5</v>
      </c>
      <c r="AU13" s="66" t="e">
        <f>"da "&amp;ROUND(BA17,1)&amp;" pedoni/settimana a "&amp;ROUND(BA15,1)&amp;"  pedoni/giorno"</f>
        <v>#DIV/0!</v>
      </c>
      <c r="AV13" s="45"/>
      <c r="AW13" s="45"/>
      <c r="AX13" s="45"/>
      <c r="AY13" s="45"/>
      <c r="AZ13" s="72" t="s">
        <v>18</v>
      </c>
      <c r="BA13" s="73" t="e">
        <f>BA$8/500*24</f>
        <v>#DIV/0!</v>
      </c>
      <c r="BB13" s="73" t="e">
        <f>BB$8/500*24</f>
        <v>#DIV/0!</v>
      </c>
      <c r="BC13" s="101"/>
      <c r="BD13" s="45"/>
      <c r="BE13" s="45"/>
      <c r="BF13" s="44"/>
      <c r="BG13" s="44"/>
      <c r="BH13" s="45"/>
      <c r="BI13" s="44"/>
      <c r="BJ13" s="44"/>
      <c r="BK13" s="44"/>
      <c r="BL13" s="44"/>
      <c r="BM13" s="44"/>
      <c r="BN13" s="44"/>
      <c r="BO13" s="44"/>
      <c r="BP13" s="44"/>
      <c r="BQ13" s="83" t="str">
        <f>IF(BQ7="proprietà",BQ36,IF(BQ7="occupazione",BQ46,IF(BQ7="pedoni/ciclisti",AU22,IF(BQ7="traffico 30 Km/h",AY63,IF(BQ7="traffico 50 km/h",AY55,IF(BQ7="traffico 70 Km/h",AY47,IF(BQ7="traffico 90 Km/h",AY39,IF(BQ7="traffico 110 km/h",AY31, " "))))))))</f>
        <v xml:space="preserve"> </v>
      </c>
      <c r="BR13" s="49">
        <v>5</v>
      </c>
      <c r="BS13" s="49"/>
    </row>
    <row r="14" spans="1:73" ht="15" customHeight="1" x14ac:dyDescent="0.3">
      <c r="B14" s="647" t="s">
        <v>1584</v>
      </c>
      <c r="C14" s="648"/>
      <c r="D14" s="648"/>
      <c r="E14" s="648"/>
      <c r="F14" s="648"/>
      <c r="G14" s="648" t="s">
        <v>169</v>
      </c>
      <c r="H14" s="648"/>
      <c r="I14" s="648"/>
      <c r="J14" s="648"/>
      <c r="K14" s="648"/>
      <c r="L14" s="648" t="s">
        <v>1582</v>
      </c>
      <c r="M14" s="648"/>
      <c r="N14" s="648"/>
      <c r="O14" s="648"/>
      <c r="P14" s="648"/>
      <c r="Q14" s="648" t="s">
        <v>1583</v>
      </c>
      <c r="R14" s="648"/>
      <c r="S14" s="648"/>
      <c r="T14" s="648"/>
      <c r="U14" s="665"/>
      <c r="V14" s="97"/>
      <c r="AA14" s="28" t="s">
        <v>468</v>
      </c>
      <c r="AB14" s="15"/>
      <c r="AC14" s="15" t="s">
        <v>154</v>
      </c>
      <c r="AD14" s="15"/>
      <c r="AE14" s="15" t="s">
        <v>1282</v>
      </c>
      <c r="AF14" s="95"/>
      <c r="AG14" s="15" t="s">
        <v>609</v>
      </c>
      <c r="AH14" s="100"/>
      <c r="AI14" s="15" t="s">
        <v>1285</v>
      </c>
      <c r="AJ14" s="100"/>
      <c r="AK14" s="15" t="s">
        <v>1697</v>
      </c>
      <c r="AL14" s="42"/>
      <c r="AN14" s="20"/>
      <c r="AO14" s="20"/>
      <c r="AP14" s="20"/>
      <c r="AT14" s="65">
        <v>6</v>
      </c>
      <c r="AU14" s="66" t="e">
        <f>"da "&amp;ROUND(BA19,1)&amp;" pedoni/anno a "&amp;ROUND(BA17,1)&amp;"  pedoni/settimana"</f>
        <v>#DIV/0!</v>
      </c>
      <c r="AV14" s="45"/>
      <c r="AW14" s="45"/>
      <c r="AX14" s="45"/>
      <c r="AY14" s="72"/>
      <c r="AZ14" s="72" t="s">
        <v>12</v>
      </c>
      <c r="BA14" s="82" t="e">
        <f>BA12/10</f>
        <v>#DIV/0!</v>
      </c>
      <c r="BB14" s="82" t="e">
        <f>BB12/10</f>
        <v>#DIV/0!</v>
      </c>
      <c r="BC14" s="101"/>
      <c r="BD14" s="45"/>
      <c r="BE14" s="45"/>
      <c r="BF14" s="44"/>
      <c r="BG14" s="44"/>
      <c r="BH14" s="45"/>
      <c r="BI14" s="44"/>
      <c r="BJ14" s="44"/>
      <c r="BK14" s="44"/>
      <c r="BL14" s="44"/>
      <c r="BM14" s="44"/>
      <c r="BN14" s="44"/>
      <c r="BO14" s="44"/>
      <c r="BP14" s="44"/>
      <c r="BQ14" s="83" t="str">
        <f>IF(BQ7="proprietà",BQ37,IF(BQ7="occupazione",BQ47,IF(BQ7="pedoni/ciclisti",AU23,IF(BQ7="traffico 30 Km/h",AY64,IF(BQ7="traffico 50 km/h",AY56,IF(BQ7="traffico 70 Km/h",AY48,IF(BQ7="traffico 90 Km/h",AY40,IF(BQ7="traffico 110 km/h",AY32, " "))))))))</f>
        <v xml:space="preserve"> </v>
      </c>
      <c r="BR14" s="49">
        <v>6</v>
      </c>
      <c r="BS14" s="49"/>
    </row>
    <row r="15" spans="1:73" ht="15" customHeight="1" x14ac:dyDescent="0.3">
      <c r="B15" s="643"/>
      <c r="C15" s="644"/>
      <c r="D15" s="644"/>
      <c r="E15" s="645"/>
      <c r="F15" s="272"/>
      <c r="G15" s="644"/>
      <c r="H15" s="644"/>
      <c r="I15" s="644"/>
      <c r="J15" s="645"/>
      <c r="K15" s="272"/>
      <c r="L15" s="644"/>
      <c r="M15" s="644"/>
      <c r="N15" s="644"/>
      <c r="O15" s="645"/>
      <c r="P15" s="272"/>
      <c r="Q15" s="644"/>
      <c r="R15" s="644"/>
      <c r="S15" s="644"/>
      <c r="T15" s="666"/>
      <c r="U15" s="275"/>
      <c r="V15" s="97"/>
      <c r="AA15" s="28" t="s">
        <v>1286</v>
      </c>
      <c r="AB15" s="15"/>
      <c r="AD15" s="15"/>
      <c r="AE15" s="15" t="s">
        <v>1285</v>
      </c>
      <c r="AF15" s="15"/>
      <c r="AG15" s="15" t="s">
        <v>1287</v>
      </c>
      <c r="AH15" s="100"/>
      <c r="AI15" s="15" t="s">
        <v>1288</v>
      </c>
      <c r="AJ15" s="100"/>
      <c r="AK15" s="15" t="s">
        <v>1696</v>
      </c>
      <c r="AL15" s="42"/>
      <c r="AN15" s="102"/>
      <c r="AO15" s="102"/>
      <c r="AP15" s="102"/>
      <c r="AT15" s="65">
        <v>7</v>
      </c>
      <c r="AU15" s="66" t="e">
        <f>"da "&amp;ROUND(BA20,1)&amp;"  a "&amp;ROUND(BA19,1)&amp;"  pedoni/anno"</f>
        <v>#DIV/0!</v>
      </c>
      <c r="AV15" s="45"/>
      <c r="AW15" s="45"/>
      <c r="AX15" s="45"/>
      <c r="AY15" s="45"/>
      <c r="AZ15" s="72" t="s">
        <v>19</v>
      </c>
      <c r="BA15" s="82" t="e">
        <f>BA$8/5000*24</f>
        <v>#DIV/0!</v>
      </c>
      <c r="BB15" s="82" t="e">
        <f>BB$8/5000*24</f>
        <v>#DIV/0!</v>
      </c>
      <c r="BC15" s="101"/>
      <c r="BD15" s="45"/>
      <c r="BE15" s="45"/>
      <c r="BF15" s="44"/>
      <c r="BG15" s="44"/>
      <c r="BH15" s="45"/>
      <c r="BI15" s="44"/>
      <c r="BJ15" s="44"/>
      <c r="BK15" s="44"/>
      <c r="BL15" s="44"/>
      <c r="BM15" s="44"/>
      <c r="BN15" s="44"/>
      <c r="BO15" s="44"/>
      <c r="BP15" s="44"/>
      <c r="BQ15" s="103" t="str">
        <f>IF(BQ7="proprietà",BQ38,IF(BQ7="occupazione",BQ48,IF(BQ7="pedoni/ciclisti",AU24,IF(BQ7="traffico 30 Km/h",AY65,IF(BQ7="traffico 50 km/h",AY57,IF(BQ7="traffico 70 Km/h",AY49,IF(BQ7="traffico 90 Km/h",AY41,IF(BQ7="traffico 110 km/h",AY33, " "))))))))</f>
        <v xml:space="preserve"> </v>
      </c>
      <c r="BR15" s="104">
        <v>7</v>
      </c>
      <c r="BS15" s="49"/>
      <c r="BU15" s="60" t="s">
        <v>1350</v>
      </c>
    </row>
    <row r="16" spans="1:73" ht="15" customHeight="1" x14ac:dyDescent="0.3">
      <c r="B16" s="661"/>
      <c r="C16" s="634"/>
      <c r="D16" s="634"/>
      <c r="E16" s="635"/>
      <c r="F16" s="273"/>
      <c r="G16" s="634"/>
      <c r="H16" s="634"/>
      <c r="I16" s="634"/>
      <c r="J16" s="635"/>
      <c r="K16" s="273"/>
      <c r="L16" s="634"/>
      <c r="M16" s="634"/>
      <c r="N16" s="634"/>
      <c r="O16" s="635"/>
      <c r="P16" s="273"/>
      <c r="Q16" s="634"/>
      <c r="R16" s="634"/>
      <c r="S16" s="634"/>
      <c r="T16" s="667"/>
      <c r="U16" s="276"/>
      <c r="V16" s="97"/>
      <c r="AA16" s="28" t="s">
        <v>1291</v>
      </c>
      <c r="AB16" s="15"/>
      <c r="AC16" s="15" t="s">
        <v>581</v>
      </c>
      <c r="AD16" s="15" t="s">
        <v>1292</v>
      </c>
      <c r="AE16" s="15" t="s">
        <v>1293</v>
      </c>
      <c r="AF16" s="15"/>
      <c r="AG16" s="15" t="s">
        <v>1294</v>
      </c>
      <c r="AH16" s="100"/>
      <c r="AI16" s="15" t="s">
        <v>1295</v>
      </c>
      <c r="AJ16" s="100"/>
      <c r="AK16" s="15" t="s">
        <v>1698</v>
      </c>
      <c r="AL16" s="42"/>
      <c r="AN16" s="102"/>
      <c r="AO16" s="102"/>
      <c r="AP16" s="102"/>
      <c r="AT16" s="65"/>
      <c r="AU16" s="66"/>
      <c r="AV16" s="45"/>
      <c r="AW16" s="45"/>
      <c r="AX16" s="45"/>
      <c r="AY16" s="72"/>
      <c r="AZ16" s="72" t="s">
        <v>13</v>
      </c>
      <c r="BA16" s="82" t="e">
        <f>BA14/10</f>
        <v>#DIV/0!</v>
      </c>
      <c r="BB16" s="82" t="e">
        <f>BB14/10</f>
        <v>#DIV/0!</v>
      </c>
      <c r="BC16" s="101"/>
      <c r="BD16" s="45"/>
      <c r="BE16" s="45"/>
      <c r="BF16" s="44"/>
      <c r="BG16" s="44"/>
      <c r="BH16" s="45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105"/>
      <c r="BU16" s="106" t="s">
        <v>1638</v>
      </c>
    </row>
    <row r="17" spans="2:73" ht="15" customHeight="1" x14ac:dyDescent="0.3">
      <c r="B17" s="661"/>
      <c r="C17" s="634"/>
      <c r="D17" s="634"/>
      <c r="E17" s="635"/>
      <c r="F17" s="273"/>
      <c r="G17" s="634"/>
      <c r="H17" s="634"/>
      <c r="I17" s="634"/>
      <c r="J17" s="635"/>
      <c r="K17" s="273"/>
      <c r="L17" s="634"/>
      <c r="M17" s="634"/>
      <c r="N17" s="634"/>
      <c r="O17" s="635"/>
      <c r="P17" s="273"/>
      <c r="Q17" s="634"/>
      <c r="R17" s="634"/>
      <c r="S17" s="634"/>
      <c r="T17" s="667"/>
      <c r="U17" s="276"/>
      <c r="V17" s="97"/>
      <c r="AA17" s="28" t="s">
        <v>144</v>
      </c>
      <c r="AB17" s="15"/>
      <c r="AC17" s="99" t="s">
        <v>1284</v>
      </c>
      <c r="AD17" s="3"/>
      <c r="AE17" s="15" t="s">
        <v>1296</v>
      </c>
      <c r="AF17" s="15"/>
      <c r="AG17" s="15" t="s">
        <v>1297</v>
      </c>
      <c r="AH17" s="100"/>
      <c r="AI17" s="15" t="s">
        <v>1298</v>
      </c>
      <c r="AJ17" s="100"/>
      <c r="AK17" s="15" t="s">
        <v>125</v>
      </c>
      <c r="AL17" s="42"/>
      <c r="AN17" s="102"/>
      <c r="AO17" s="102"/>
      <c r="AP17" s="102"/>
      <c r="AT17" s="70"/>
      <c r="AU17" s="66" t="s">
        <v>180</v>
      </c>
      <c r="AV17" s="45"/>
      <c r="AW17" s="45"/>
      <c r="AX17" s="45"/>
      <c r="AY17" s="45"/>
      <c r="AZ17" s="72" t="s">
        <v>20</v>
      </c>
      <c r="BA17" s="82" t="e">
        <f>BA$8/50000*24*7</f>
        <v>#DIV/0!</v>
      </c>
      <c r="BB17" s="82" t="e">
        <f>BB$8/50000*24*7</f>
        <v>#DIV/0!</v>
      </c>
      <c r="BC17" s="107"/>
      <c r="BD17" s="45"/>
      <c r="BE17" s="45"/>
      <c r="BF17" s="44"/>
      <c r="BG17" s="44"/>
      <c r="BH17" s="45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105"/>
      <c r="BU17" s="60"/>
    </row>
    <row r="18" spans="2:73" ht="15" customHeight="1" x14ac:dyDescent="0.3">
      <c r="B18" s="661"/>
      <c r="C18" s="634"/>
      <c r="D18" s="634"/>
      <c r="E18" s="635"/>
      <c r="F18" s="273"/>
      <c r="G18" s="634"/>
      <c r="H18" s="634"/>
      <c r="I18" s="634"/>
      <c r="J18" s="635"/>
      <c r="K18" s="273"/>
      <c r="L18" s="634"/>
      <c r="M18" s="634"/>
      <c r="N18" s="634"/>
      <c r="O18" s="635"/>
      <c r="P18" s="273"/>
      <c r="Q18" s="634"/>
      <c r="R18" s="634"/>
      <c r="S18" s="634"/>
      <c r="T18" s="667"/>
      <c r="U18" s="276"/>
      <c r="V18" s="97"/>
      <c r="AA18" s="28" t="s">
        <v>1299</v>
      </c>
      <c r="AB18" s="15"/>
      <c r="AC18" s="15" t="s">
        <v>1300</v>
      </c>
      <c r="AD18" s="99"/>
      <c r="AE18" s="15" t="s">
        <v>1301</v>
      </c>
      <c r="AF18" s="15"/>
      <c r="AG18" s="15" t="s">
        <v>639</v>
      </c>
      <c r="AH18" s="100"/>
      <c r="AI18" s="91" t="s">
        <v>138</v>
      </c>
      <c r="AJ18" s="3"/>
      <c r="AK18" s="15" t="s">
        <v>578</v>
      </c>
      <c r="AL18" s="42"/>
      <c r="AN18" s="108"/>
      <c r="AO18" s="102"/>
      <c r="AP18" s="102"/>
      <c r="AT18" s="65">
        <v>1</v>
      </c>
      <c r="AU18" s="66" t="e">
        <f>"da "&amp;ROUND(BB9,0)&amp;" a "&amp;ROUND(BB8,0)&amp;"  pedoni/ora"</f>
        <v>#DIV/0!</v>
      </c>
      <c r="AV18" s="45"/>
      <c r="AW18" s="45"/>
      <c r="AX18" s="45"/>
      <c r="AY18" s="72"/>
      <c r="AZ18" s="72" t="s">
        <v>14</v>
      </c>
      <c r="BA18" s="82" t="e">
        <f>BA16/10</f>
        <v>#DIV/0!</v>
      </c>
      <c r="BB18" s="82" t="e">
        <f>BB16/10</f>
        <v>#DIV/0!</v>
      </c>
      <c r="BC18" s="107"/>
      <c r="BD18" s="45"/>
      <c r="BE18" s="45"/>
      <c r="BF18" s="44"/>
      <c r="BG18" s="44"/>
      <c r="BH18" s="45"/>
      <c r="BI18" s="44"/>
      <c r="BJ18" s="44"/>
      <c r="BK18" s="44"/>
      <c r="BL18" s="44"/>
      <c r="BM18" s="44"/>
      <c r="BN18" s="44"/>
      <c r="BO18" s="44"/>
      <c r="BP18" s="44"/>
      <c r="BQ18" s="47" t="s">
        <v>1631</v>
      </c>
      <c r="BR18" s="48"/>
      <c r="BS18" s="49"/>
    </row>
    <row r="19" spans="2:73" ht="15" customHeight="1" x14ac:dyDescent="0.3">
      <c r="B19" s="661"/>
      <c r="C19" s="634"/>
      <c r="D19" s="634"/>
      <c r="E19" s="635"/>
      <c r="F19" s="273"/>
      <c r="G19" s="634"/>
      <c r="H19" s="634"/>
      <c r="I19" s="634"/>
      <c r="J19" s="635"/>
      <c r="K19" s="273"/>
      <c r="L19" s="634"/>
      <c r="M19" s="634"/>
      <c r="N19" s="634"/>
      <c r="O19" s="635"/>
      <c r="P19" s="277"/>
      <c r="Q19" s="668"/>
      <c r="R19" s="668"/>
      <c r="S19" s="668"/>
      <c r="T19" s="669"/>
      <c r="U19" s="278"/>
      <c r="V19" s="97"/>
      <c r="AA19" s="28" t="s">
        <v>1302</v>
      </c>
      <c r="AB19" s="15"/>
      <c r="AC19" s="15" t="s">
        <v>1282</v>
      </c>
      <c r="AD19" s="95"/>
      <c r="AE19" s="15" t="s">
        <v>597</v>
      </c>
      <c r="AF19" s="15"/>
      <c r="AG19" s="15" t="s">
        <v>1303</v>
      </c>
      <c r="AH19" s="100"/>
      <c r="AI19" s="15" t="s">
        <v>1304</v>
      </c>
      <c r="AJ19" s="109" t="s">
        <v>1305</v>
      </c>
      <c r="AK19" s="15"/>
      <c r="AL19" s="42"/>
      <c r="AN19" s="108"/>
      <c r="AO19" s="102"/>
      <c r="AP19" s="102"/>
      <c r="AT19" s="65">
        <v>2</v>
      </c>
      <c r="AU19" s="66" t="e">
        <f>"da "&amp;ROUND(BB11,0)&amp;" a "&amp;ROUND(BB9,0)&amp;"  pedoni/ora"</f>
        <v>#DIV/0!</v>
      </c>
      <c r="AV19" s="45"/>
      <c r="AW19" s="45"/>
      <c r="AX19" s="45"/>
      <c r="AY19" s="45"/>
      <c r="AZ19" s="72" t="s">
        <v>21</v>
      </c>
      <c r="BA19" s="82" t="e">
        <f>BA$8/500000*24*365</f>
        <v>#DIV/0!</v>
      </c>
      <c r="BB19" s="82" t="e">
        <f>BB$8/500000*24*365</f>
        <v>#DIV/0!</v>
      </c>
      <c r="BC19" s="107"/>
      <c r="BD19" s="45"/>
      <c r="BE19" s="45"/>
      <c r="BF19" s="45"/>
      <c r="BG19" s="45"/>
      <c r="BH19" s="45"/>
      <c r="BI19" s="45"/>
      <c r="BJ19" s="44"/>
      <c r="BK19" s="44"/>
      <c r="BL19" s="44"/>
      <c r="BM19" s="44"/>
      <c r="BN19" s="44"/>
      <c r="BO19" s="44"/>
      <c r="BP19" s="44"/>
      <c r="BQ19" s="59" t="s">
        <v>1629</v>
      </c>
      <c r="BR19" s="49"/>
      <c r="BS19" s="49"/>
    </row>
    <row r="20" spans="2:73" ht="15" customHeight="1" x14ac:dyDescent="0.3">
      <c r="B20" s="663"/>
      <c r="C20" s="664"/>
      <c r="D20" s="664"/>
      <c r="E20" s="664"/>
      <c r="F20" s="273"/>
      <c r="G20" s="635"/>
      <c r="H20" s="664"/>
      <c r="I20" s="664"/>
      <c r="J20" s="664"/>
      <c r="K20" s="273"/>
      <c r="L20" s="648" t="s">
        <v>1581</v>
      </c>
      <c r="M20" s="648"/>
      <c r="N20" s="648"/>
      <c r="O20" s="648"/>
      <c r="P20" s="648"/>
      <c r="Q20" s="648" t="s">
        <v>168</v>
      </c>
      <c r="R20" s="648"/>
      <c r="S20" s="648"/>
      <c r="T20" s="648"/>
      <c r="U20" s="665"/>
      <c r="AA20" s="31"/>
      <c r="AC20" s="15" t="s">
        <v>1285</v>
      </c>
      <c r="AD20" s="99"/>
      <c r="AE20" s="15" t="s">
        <v>609</v>
      </c>
      <c r="AF20" s="15"/>
      <c r="AG20" s="15" t="s">
        <v>1306</v>
      </c>
      <c r="AH20" s="100"/>
      <c r="AI20" s="15" t="s">
        <v>1307</v>
      </c>
      <c r="AJ20" s="15"/>
      <c r="AK20" s="15" t="s">
        <v>1289</v>
      </c>
      <c r="AL20" s="17" t="s">
        <v>1290</v>
      </c>
      <c r="AN20" s="108"/>
      <c r="AT20" s="65">
        <v>3</v>
      </c>
      <c r="AU20" s="66" t="e">
        <f>"da "&amp;ROUND(BB13,0)&amp;" pedoni/giorno a "&amp;ROUND(BB11,0)&amp;"  pedoni/ora"</f>
        <v>#DIV/0!</v>
      </c>
      <c r="AV20" s="45"/>
      <c r="AW20" s="45"/>
      <c r="AX20" s="45"/>
      <c r="AY20" s="72"/>
      <c r="AZ20" s="72" t="s">
        <v>15</v>
      </c>
      <c r="BA20" s="82" t="e">
        <f>BA18/10*24*365</f>
        <v>#DIV/0!</v>
      </c>
      <c r="BB20" s="82" t="e">
        <f>BB18/10*24*365</f>
        <v>#DIV/0!</v>
      </c>
      <c r="BC20" s="107"/>
      <c r="BD20" s="45"/>
      <c r="BE20" s="45"/>
      <c r="BF20" s="45"/>
      <c r="BG20" s="45"/>
      <c r="BH20" s="45"/>
      <c r="BI20" s="45"/>
      <c r="BJ20" s="44"/>
      <c r="BK20" s="44"/>
      <c r="BL20" s="44"/>
      <c r="BM20" s="44"/>
      <c r="BN20" s="44"/>
      <c r="BO20" s="44"/>
      <c r="BP20" s="44"/>
      <c r="BQ20" s="67">
        <f>ORD!$C$32</f>
        <v>0</v>
      </c>
      <c r="BR20" s="49"/>
      <c r="BS20" s="49"/>
    </row>
    <row r="21" spans="2:73" ht="15" customHeight="1" x14ac:dyDescent="0.3">
      <c r="B21" s="661"/>
      <c r="C21" s="634"/>
      <c r="D21" s="634"/>
      <c r="E21" s="635"/>
      <c r="F21" s="273"/>
      <c r="G21" s="634"/>
      <c r="H21" s="634"/>
      <c r="I21" s="634"/>
      <c r="J21" s="635"/>
      <c r="K21" s="273"/>
      <c r="L21" s="634"/>
      <c r="M21" s="634"/>
      <c r="N21" s="634"/>
      <c r="O21" s="635"/>
      <c r="P21" s="272"/>
      <c r="Q21" s="634"/>
      <c r="R21" s="634"/>
      <c r="S21" s="634"/>
      <c r="T21" s="635"/>
      <c r="U21" s="275"/>
      <c r="V21" s="97"/>
      <c r="AA21" s="28" t="s">
        <v>612</v>
      </c>
      <c r="AB21" s="15" t="s">
        <v>1308</v>
      </c>
      <c r="AC21" s="15" t="s">
        <v>1309</v>
      </c>
      <c r="AD21" s="99"/>
      <c r="AE21" s="15" t="s">
        <v>1306</v>
      </c>
      <c r="AF21" s="15"/>
      <c r="AG21" s="15" t="s">
        <v>1310</v>
      </c>
      <c r="AH21" s="100"/>
      <c r="AI21" s="15" t="s">
        <v>1311</v>
      </c>
      <c r="AJ21" s="100"/>
      <c r="AK21" s="15" t="s">
        <v>150</v>
      </c>
      <c r="AL21" s="17"/>
      <c r="AN21" s="108"/>
      <c r="AT21" s="65">
        <v>4</v>
      </c>
      <c r="AU21" s="66" t="e">
        <f>"da "&amp;ROUND(BB15,1)&amp;" a "&amp;ROUND(BB13,1)&amp;"  pedoni/giorno"</f>
        <v>#DIV/0!</v>
      </c>
      <c r="AV21" s="45"/>
      <c r="AW21" s="45"/>
      <c r="AX21" s="45"/>
      <c r="AY21" s="45"/>
      <c r="AZ21" s="44"/>
      <c r="BA21" s="44"/>
      <c r="BB21" s="44"/>
      <c r="BC21" s="45"/>
      <c r="BD21" s="45"/>
      <c r="BE21" s="45"/>
      <c r="BF21" s="45"/>
      <c r="BG21" s="45"/>
      <c r="BH21" s="45"/>
      <c r="BI21" s="45"/>
      <c r="BJ21" s="44"/>
      <c r="BK21" s="44"/>
      <c r="BL21" s="44"/>
      <c r="BM21" s="44"/>
      <c r="BN21" s="44"/>
      <c r="BO21" s="44"/>
      <c r="BP21" s="44"/>
      <c r="BQ21" s="59" t="s">
        <v>1627</v>
      </c>
      <c r="BR21" s="74" t="s">
        <v>1628</v>
      </c>
      <c r="BS21" s="74"/>
    </row>
    <row r="22" spans="2:73" ht="15" customHeight="1" x14ac:dyDescent="0.3">
      <c r="B22" s="661"/>
      <c r="C22" s="634"/>
      <c r="D22" s="634"/>
      <c r="E22" s="635"/>
      <c r="F22" s="273"/>
      <c r="G22" s="634"/>
      <c r="H22" s="634"/>
      <c r="I22" s="634"/>
      <c r="J22" s="635"/>
      <c r="K22" s="273"/>
      <c r="L22" s="634"/>
      <c r="M22" s="634"/>
      <c r="N22" s="634"/>
      <c r="O22" s="635"/>
      <c r="P22" s="273"/>
      <c r="Q22" s="634"/>
      <c r="R22" s="634"/>
      <c r="S22" s="634"/>
      <c r="T22" s="635"/>
      <c r="U22" s="276"/>
      <c r="V22" s="97"/>
      <c r="AA22" s="28" t="s">
        <v>1312</v>
      </c>
      <c r="AB22" s="15"/>
      <c r="AC22" s="15" t="s">
        <v>591</v>
      </c>
      <c r="AD22" s="99"/>
      <c r="AE22" s="15" t="s">
        <v>1287</v>
      </c>
      <c r="AF22" s="15"/>
      <c r="AG22" s="15"/>
      <c r="AH22" s="100"/>
      <c r="AI22" s="91" t="s">
        <v>609</v>
      </c>
      <c r="AJ22" s="3"/>
      <c r="AK22" s="15" t="s">
        <v>147</v>
      </c>
      <c r="AL22" s="17"/>
      <c r="AN22" s="108"/>
      <c r="AT22" s="65">
        <v>5</v>
      </c>
      <c r="AU22" s="66" t="e">
        <f>"da "&amp;ROUND(BB17,1)&amp;" pedoni/settimana a "&amp;ROUND(BB15,1)&amp;"  pedoni/giorno"</f>
        <v>#DIV/0!</v>
      </c>
      <c r="AV22" s="45"/>
      <c r="AW22" s="45"/>
      <c r="AX22" s="45"/>
      <c r="AY22" s="45"/>
      <c r="AZ22" s="45"/>
      <c r="BA22" s="111"/>
      <c r="BB22" s="111"/>
      <c r="BC22" s="45"/>
      <c r="BD22" s="45"/>
      <c r="BE22" s="45"/>
      <c r="BF22" s="45"/>
      <c r="BG22" s="45"/>
      <c r="BH22" s="45"/>
      <c r="BI22" s="45"/>
      <c r="BJ22" s="44"/>
      <c r="BK22" s="44"/>
      <c r="BL22" s="44"/>
      <c r="BM22" s="44"/>
      <c r="BN22" s="44"/>
      <c r="BO22" s="44"/>
      <c r="BP22" s="44"/>
      <c r="BQ22" s="83" t="str">
        <f>IF(BQ20="proprietà",BQ32,IF(BQ20="occupazione",BQ42,IF(BQ20="pedoni/ciclisti",AU9,IF(BQ20="traffico 30 Km/h",AU59,IF(BQ20="traffico 50 km/h",AU51,IF(BQ20="traffico 70 Km/h",AU43,IF(BQ20="traffico 90 Km/h",AU35,IF(BQ20="traffico 110 km/h",AU27, " "))))))))</f>
        <v xml:space="preserve"> </v>
      </c>
      <c r="BR22" s="49">
        <v>1</v>
      </c>
      <c r="BS22" s="49"/>
    </row>
    <row r="23" spans="2:73" ht="15" customHeight="1" thickBot="1" x14ac:dyDescent="0.35">
      <c r="B23" s="661"/>
      <c r="C23" s="634"/>
      <c r="D23" s="634"/>
      <c r="E23" s="635"/>
      <c r="F23" s="273"/>
      <c r="G23" s="634"/>
      <c r="H23" s="634"/>
      <c r="I23" s="634"/>
      <c r="J23" s="635"/>
      <c r="K23" s="273"/>
      <c r="L23" s="634"/>
      <c r="M23" s="634"/>
      <c r="N23" s="634"/>
      <c r="O23" s="635"/>
      <c r="P23" s="273"/>
      <c r="Q23" s="634"/>
      <c r="R23" s="634"/>
      <c r="S23" s="634"/>
      <c r="T23" s="635"/>
      <c r="U23" s="276"/>
      <c r="V23" s="112"/>
      <c r="AA23" s="28" t="s">
        <v>1314</v>
      </c>
      <c r="AB23" s="113"/>
      <c r="AC23" s="15" t="s">
        <v>609</v>
      </c>
      <c r="AD23" s="99"/>
      <c r="AE23" s="15" t="s">
        <v>1294</v>
      </c>
      <c r="AF23" s="15"/>
      <c r="AG23" s="15" t="s">
        <v>621</v>
      </c>
      <c r="AH23" s="15" t="s">
        <v>1315</v>
      </c>
      <c r="AI23" s="15" t="s">
        <v>1316</v>
      </c>
      <c r="AJ23" s="99"/>
      <c r="AK23" s="15" t="s">
        <v>124</v>
      </c>
      <c r="AL23" s="17"/>
      <c r="AN23" s="108"/>
      <c r="AT23" s="65">
        <v>6</v>
      </c>
      <c r="AU23" s="66" t="e">
        <f>"da "&amp;ROUND(BB19,1)&amp;" pedoni/anno a "&amp;ROUND(BB17,1)&amp;"  pedoni/settimana"</f>
        <v>#DIV/0!</v>
      </c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4"/>
      <c r="BK23" s="44"/>
      <c r="BL23" s="44"/>
      <c r="BM23" s="44"/>
      <c r="BN23" s="44"/>
      <c r="BO23" s="44"/>
      <c r="BP23" s="44"/>
      <c r="BQ23" s="83" t="str">
        <f>IF(BQ20="proprietà",BQ33,IF(BQ20="occupazione",BQ43,IF(BQ20="pedoni/ciclisti",AU10,IF(BQ20="traffico 30 Km/h",AU60,IF(BQ20="traffico 50 km/h",AU52,IF(BQ20="traffico 70 Km/h",AU44,IF(BQ20="traffico 90 Km/h",AU36,IF(BQ20="traffico 110 km/h",AU28, " "))))))))</f>
        <v xml:space="preserve"> </v>
      </c>
      <c r="BR23" s="49">
        <v>2</v>
      </c>
      <c r="BS23" s="49"/>
    </row>
    <row r="24" spans="2:73" ht="15" customHeight="1" thickBot="1" x14ac:dyDescent="0.35">
      <c r="B24" s="662"/>
      <c r="C24" s="653"/>
      <c r="D24" s="653"/>
      <c r="E24" s="654"/>
      <c r="F24" s="274"/>
      <c r="G24" s="653"/>
      <c r="H24" s="653"/>
      <c r="I24" s="653"/>
      <c r="J24" s="654"/>
      <c r="K24" s="274"/>
      <c r="L24" s="653"/>
      <c r="M24" s="653"/>
      <c r="N24" s="653"/>
      <c r="O24" s="654"/>
      <c r="P24" s="274"/>
      <c r="Q24" s="653"/>
      <c r="R24" s="653"/>
      <c r="S24" s="653"/>
      <c r="T24" s="654"/>
      <c r="U24" s="279"/>
      <c r="V24" s="114"/>
      <c r="AA24" s="28" t="s">
        <v>634</v>
      </c>
      <c r="AB24" s="15"/>
      <c r="AC24" s="15" t="s">
        <v>602</v>
      </c>
      <c r="AD24" s="99"/>
      <c r="AE24" s="15" t="s">
        <v>1297</v>
      </c>
      <c r="AF24" s="15"/>
      <c r="AG24" s="15" t="s">
        <v>1317</v>
      </c>
      <c r="AH24" s="15"/>
      <c r="AI24" s="15" t="s">
        <v>646</v>
      </c>
      <c r="AJ24" s="99"/>
      <c r="AK24" s="15" t="s">
        <v>607</v>
      </c>
      <c r="AL24" s="17"/>
      <c r="AN24" s="108"/>
      <c r="AT24" s="65">
        <v>7</v>
      </c>
      <c r="AU24" s="66" t="e">
        <f>"da "&amp;ROUND(BB20,1)&amp;" a "&amp;ROUND(BB19,1)&amp;"  pedoni/anno"</f>
        <v>#DIV/0!</v>
      </c>
      <c r="AV24" s="45"/>
      <c r="AW24" s="45"/>
      <c r="AX24" s="45"/>
      <c r="AY24" s="45"/>
      <c r="AZ24" s="45"/>
      <c r="BA24" s="45"/>
      <c r="BB24" s="115"/>
      <c r="BC24" s="116" t="s">
        <v>1663</v>
      </c>
      <c r="BD24" s="117">
        <v>1.3</v>
      </c>
      <c r="BE24" s="45"/>
      <c r="BF24" s="45"/>
      <c r="BG24" s="45"/>
      <c r="BH24" s="45"/>
      <c r="BI24" s="45"/>
      <c r="BJ24" s="44"/>
      <c r="BK24" s="44"/>
      <c r="BL24" s="44"/>
      <c r="BM24" s="44"/>
      <c r="BN24" s="44"/>
      <c r="BO24" s="44"/>
      <c r="BP24" s="44"/>
      <c r="BQ24" s="83" t="str">
        <f>IF(BQ20="proprietà",BQ34,IF(BQ20="occupazione",BQ44,IF(BQ20="pedoni/ciclisti",AU11,IF(BQ20="traffico 30 Km/h",AU61,IF(BQ20="traffico 50 km/h",AU53,IF(BQ20="traffico 70 Km/h",AU45,IF(BQ20="traffico 90 Km/h",AU37,IF(BQ20="traffico 110 km/h",AU29, " "))))))))</f>
        <v xml:space="preserve"> </v>
      </c>
      <c r="BR24" s="49">
        <v>3</v>
      </c>
      <c r="BS24" s="49"/>
    </row>
    <row r="25" spans="2:73" ht="15" customHeight="1" x14ac:dyDescent="0.3">
      <c r="B25" s="514" t="s">
        <v>1575</v>
      </c>
      <c r="C25" s="515"/>
      <c r="D25" s="515"/>
      <c r="E25" s="515"/>
      <c r="F25" s="515"/>
      <c r="G25" s="515"/>
      <c r="H25" s="515"/>
      <c r="I25" s="515"/>
      <c r="J25" s="515"/>
      <c r="K25" s="515"/>
      <c r="L25" s="515"/>
      <c r="M25" s="515"/>
      <c r="N25" s="515"/>
      <c r="O25" s="515"/>
      <c r="P25" s="515"/>
      <c r="Q25" s="515"/>
      <c r="R25" s="515"/>
      <c r="S25" s="515"/>
      <c r="T25" s="515"/>
      <c r="U25" s="516"/>
      <c r="V25" s="114"/>
      <c r="AA25" s="28" t="s">
        <v>127</v>
      </c>
      <c r="AB25" s="15"/>
      <c r="AC25" s="15" t="s">
        <v>1306</v>
      </c>
      <c r="AD25" s="99"/>
      <c r="AE25" s="15" t="s">
        <v>639</v>
      </c>
      <c r="AF25" s="15"/>
      <c r="AG25" s="15" t="s">
        <v>594</v>
      </c>
      <c r="AH25" s="3"/>
      <c r="AI25" s="15" t="s">
        <v>1287</v>
      </c>
      <c r="AJ25" s="99"/>
      <c r="AK25" s="15" t="s">
        <v>1313</v>
      </c>
      <c r="AL25" s="17"/>
      <c r="AN25" s="108"/>
      <c r="AT25" s="65"/>
      <c r="AU25" s="66"/>
      <c r="AV25" s="45"/>
      <c r="AW25" s="45"/>
      <c r="AX25" s="45"/>
      <c r="AY25" s="45"/>
      <c r="AZ25" s="45"/>
      <c r="BA25" s="45"/>
      <c r="BB25" s="45"/>
      <c r="BC25" s="57" t="s">
        <v>184</v>
      </c>
      <c r="BD25" s="46">
        <v>30</v>
      </c>
      <c r="BE25" s="46">
        <v>50</v>
      </c>
      <c r="BF25" s="46">
        <v>70</v>
      </c>
      <c r="BG25" s="46">
        <v>90</v>
      </c>
      <c r="BH25" s="46">
        <v>110</v>
      </c>
      <c r="BI25" s="46">
        <v>60</v>
      </c>
      <c r="BJ25" s="44"/>
      <c r="BK25" s="44"/>
      <c r="BL25" s="44"/>
      <c r="BM25" s="44"/>
      <c r="BN25" s="44"/>
      <c r="BO25" s="44"/>
      <c r="BP25" s="44"/>
      <c r="BQ25" s="83" t="str">
        <f>IF(BQ20="proprietà",BQ35,IF(BQ20="occupazione",BQ45,IF(BQ20="pedoni/ciclisti",AU12,IF(BQ20="traffico 30 Km/h",AU62,IF(BQ20="traffico 50 km/h",AU54,IF(BQ20="traffico 70 Km/h",AU46,IF(BQ20="traffico 90 Km/h",AU38,IF(BQ20="traffico 110 km/h",AU30, " "))))))))</f>
        <v xml:space="preserve"> </v>
      </c>
      <c r="BR25" s="49">
        <v>4</v>
      </c>
      <c r="BS25" s="49"/>
      <c r="BU25" s="60"/>
    </row>
    <row r="26" spans="2:73" ht="15" customHeight="1" x14ac:dyDescent="0.3">
      <c r="B26" s="118" t="s">
        <v>1590</v>
      </c>
      <c r="C26" s="119"/>
      <c r="D26" s="119"/>
      <c r="E26" s="528"/>
      <c r="F26" s="528"/>
      <c r="G26" s="529"/>
      <c r="H26" s="530" t="str">
        <f>IF(E26="","",VLOOKUP(E26,A!$B$4:$C$14,2,FALSE))</f>
        <v/>
      </c>
      <c r="I26" s="530"/>
      <c r="J26" s="530"/>
      <c r="K26" s="530"/>
      <c r="L26" s="530"/>
      <c r="M26" s="530"/>
      <c r="N26" s="530"/>
      <c r="O26" s="530"/>
      <c r="P26" s="530"/>
      <c r="Q26" s="530"/>
      <c r="R26" s="530"/>
      <c r="S26" s="530"/>
      <c r="T26" s="120"/>
      <c r="U26" s="121"/>
      <c r="V26" s="114"/>
      <c r="AA26" s="28" t="s">
        <v>637</v>
      </c>
      <c r="AB26" s="15"/>
      <c r="AC26" s="15" t="s">
        <v>582</v>
      </c>
      <c r="AD26" s="99"/>
      <c r="AE26" s="15" t="s">
        <v>1320</v>
      </c>
      <c r="AF26" s="15"/>
      <c r="AG26" s="15" t="s">
        <v>620</v>
      </c>
      <c r="AH26" s="100"/>
      <c r="AI26" s="15" t="s">
        <v>1294</v>
      </c>
      <c r="AJ26" s="99"/>
      <c r="AK26" s="15" t="s">
        <v>153</v>
      </c>
      <c r="AL26" s="17"/>
      <c r="AN26" s="102"/>
      <c r="AT26" s="65"/>
      <c r="AU26" s="46" t="s">
        <v>336</v>
      </c>
      <c r="AV26" s="45"/>
      <c r="AW26" s="45"/>
      <c r="AX26" s="46"/>
      <c r="AY26" s="46" t="s">
        <v>337</v>
      </c>
      <c r="AZ26" s="46"/>
      <c r="BA26" s="45"/>
      <c r="BB26" s="45"/>
      <c r="BC26" s="57" t="s">
        <v>185</v>
      </c>
      <c r="BD26" s="122">
        <f t="shared" ref="BD26:BI26" si="0">BD25*1000/3600</f>
        <v>8.3333333333333339</v>
      </c>
      <c r="BE26" s="122">
        <f t="shared" si="0"/>
        <v>13.888888888888889</v>
      </c>
      <c r="BF26" s="122">
        <f t="shared" si="0"/>
        <v>19.444444444444443</v>
      </c>
      <c r="BG26" s="122">
        <f t="shared" si="0"/>
        <v>25</v>
      </c>
      <c r="BH26" s="122">
        <f t="shared" si="0"/>
        <v>30.555555555555557</v>
      </c>
      <c r="BI26" s="122">
        <f t="shared" si="0"/>
        <v>16.666666666666668</v>
      </c>
      <c r="BJ26" s="44"/>
      <c r="BK26" s="44"/>
      <c r="BL26" s="44"/>
      <c r="BM26" s="44"/>
      <c r="BN26" s="44"/>
      <c r="BO26" s="44"/>
      <c r="BP26" s="44"/>
      <c r="BQ26" s="83" t="str">
        <f>IF(BQ20="proprietà",BQ36,IF(BQ20="occupazione",BQ46,IF(BQ20="pedoni/ciclisti",AU13,IF(BQ20="traffico 30 Km/h",AU63,IF(BQ20="traffico 50 km/h",AU55,IF(BQ20="traffico 70 Km/h",AU47,IF(BQ20="traffico 90 Km/h",AU39,IF(BQ20="traffico 110 km/h",AU31, " "))))))))</f>
        <v xml:space="preserve"> </v>
      </c>
      <c r="BR26" s="49">
        <v>5</v>
      </c>
      <c r="BS26" s="49"/>
    </row>
    <row r="27" spans="2:73" ht="15" customHeight="1" x14ac:dyDescent="0.3">
      <c r="B27" s="123" t="s">
        <v>1591</v>
      </c>
      <c r="C27" s="124"/>
      <c r="D27" s="124"/>
      <c r="E27" s="540"/>
      <c r="F27" s="540"/>
      <c r="G27" s="728"/>
      <c r="H27" s="539" t="str">
        <f>IF(E27="","",VLOOKUP(E27,A!$B$4:$C$14,2,FALSE))</f>
        <v/>
      </c>
      <c r="I27" s="539"/>
      <c r="J27" s="539"/>
      <c r="K27" s="539"/>
      <c r="L27" s="539"/>
      <c r="M27" s="539"/>
      <c r="N27" s="539"/>
      <c r="O27" s="539"/>
      <c r="P27" s="539"/>
      <c r="Q27" s="539"/>
      <c r="R27" s="539"/>
      <c r="S27" s="539"/>
      <c r="T27" s="120"/>
      <c r="U27" s="121"/>
      <c r="V27" s="114"/>
      <c r="AA27" s="28" t="s">
        <v>636</v>
      </c>
      <c r="AB27" s="15"/>
      <c r="AC27" s="15" t="s">
        <v>639</v>
      </c>
      <c r="AD27" s="99"/>
      <c r="AE27" s="15" t="s">
        <v>626</v>
      </c>
      <c r="AF27" s="15"/>
      <c r="AG27" s="15" t="s">
        <v>625</v>
      </c>
      <c r="AH27" s="100"/>
      <c r="AI27" s="15" t="s">
        <v>1297</v>
      </c>
      <c r="AJ27" s="99"/>
      <c r="AK27" s="15" t="s">
        <v>1318</v>
      </c>
      <c r="AL27" s="17"/>
      <c r="AT27" s="65">
        <v>1</v>
      </c>
      <c r="AU27" s="66" t="e">
        <f>"da "&amp;ROUND(BH32,0)&amp;" a "&amp;ROUND(BH31,0)&amp;" auto/giorno a 110 kmh"</f>
        <v>#DIV/0!</v>
      </c>
      <c r="AV27" s="45"/>
      <c r="AW27" s="45"/>
      <c r="AX27" s="46">
        <v>1</v>
      </c>
      <c r="AY27" s="66" t="e">
        <f>"da "&amp;ROUND(BH54,0)&amp;" a "&amp;ROUND(BH53,0)&amp;" auto/giorno a 110 kmh"</f>
        <v>#DIV/0!</v>
      </c>
      <c r="AZ27" s="66"/>
      <c r="BA27" s="45"/>
      <c r="BB27" s="125"/>
      <c r="BC27" s="126" t="s">
        <v>183</v>
      </c>
      <c r="BD27" s="127">
        <f t="shared" ref="BD27:BI27" si="1">BD26^2/(2*9.8*0.5)</f>
        <v>7.0861678004535156</v>
      </c>
      <c r="BE27" s="127">
        <f t="shared" si="1"/>
        <v>19.683799445704206</v>
      </c>
      <c r="BF27" s="127">
        <f t="shared" si="1"/>
        <v>38.58024691358024</v>
      </c>
      <c r="BG27" s="127">
        <f t="shared" si="1"/>
        <v>63.775510204081627</v>
      </c>
      <c r="BH27" s="127">
        <f t="shared" si="1"/>
        <v>95.269589317208357</v>
      </c>
      <c r="BI27" s="128">
        <f t="shared" si="1"/>
        <v>28.344671201814062</v>
      </c>
      <c r="BJ27" s="44"/>
      <c r="BK27" s="44"/>
      <c r="BL27" s="44"/>
      <c r="BM27" s="44"/>
      <c r="BN27" s="44"/>
      <c r="BO27" s="44"/>
      <c r="BP27" s="44"/>
      <c r="BQ27" s="83" t="str">
        <f>IF(BQ20="proprietà",BQ37,IF(BQ20="occupazione",BQ47,IF(BQ20="pedoni/ciclisti",AU14,IF(BQ20="traffico 30 Km/h",AU64,IF(BQ20="traffico 50 km/h",AU56,IF(BQ20="traffico 70 Km/h",AU48,IF(BQ20="traffico 90 Km/h",AU40,IF(BQ20="traffico 110 km/h",AU32, " "))))))))</f>
        <v xml:space="preserve"> </v>
      </c>
      <c r="BR27" s="49">
        <v>6</v>
      </c>
      <c r="BS27" s="49"/>
    </row>
    <row r="28" spans="2:73" ht="15" customHeight="1" x14ac:dyDescent="0.3">
      <c r="B28" s="123" t="s">
        <v>1592</v>
      </c>
      <c r="C28" s="124"/>
      <c r="D28" s="124"/>
      <c r="E28" s="540"/>
      <c r="F28" s="540"/>
      <c r="G28" s="728"/>
      <c r="H28" s="541" t="str">
        <f>IF(E28="","",VLOOKUP(E28,A!$B$4:$C$14,2,FALSE))</f>
        <v/>
      </c>
      <c r="I28" s="541"/>
      <c r="J28" s="541"/>
      <c r="K28" s="541"/>
      <c r="L28" s="541"/>
      <c r="M28" s="541"/>
      <c r="N28" s="541"/>
      <c r="O28" s="541"/>
      <c r="P28" s="541"/>
      <c r="Q28" s="541"/>
      <c r="R28" s="541"/>
      <c r="S28" s="541"/>
      <c r="T28" s="120"/>
      <c r="U28" s="121"/>
      <c r="V28" s="114"/>
      <c r="AA28" s="28" t="s">
        <v>635</v>
      </c>
      <c r="AB28" s="15"/>
      <c r="AC28" s="15" t="s">
        <v>1303</v>
      </c>
      <c r="AD28" s="99"/>
      <c r="AE28" s="15" t="s">
        <v>1303</v>
      </c>
      <c r="AF28" s="15"/>
      <c r="AG28" s="15" t="s">
        <v>1322</v>
      </c>
      <c r="AH28" s="99"/>
      <c r="AI28" s="15" t="s">
        <v>1323</v>
      </c>
      <c r="AJ28" s="99"/>
      <c r="AK28" s="91" t="s">
        <v>1319</v>
      </c>
      <c r="AL28" s="17"/>
      <c r="AT28" s="65">
        <v>2</v>
      </c>
      <c r="AU28" s="66" t="e">
        <f>"da "&amp;ROUND(BH34,0)&amp;" a "&amp;ROUND(BH32,0)&amp;" auto/giorno a 110 kmh"</f>
        <v>#DIV/0!</v>
      </c>
      <c r="AV28" s="45"/>
      <c r="AW28" s="45"/>
      <c r="AX28" s="46">
        <v>2</v>
      </c>
      <c r="AY28" s="66" t="e">
        <f>"da "&amp;ROUND(BH56,0)&amp;" a "&amp;ROUND(BH54,0)&amp;" auto/giorno a 110 kmh"</f>
        <v>#DIV/0!</v>
      </c>
      <c r="AZ28" s="66"/>
      <c r="BA28" s="45"/>
      <c r="BB28" s="129"/>
      <c r="BC28" s="130" t="s">
        <v>1694</v>
      </c>
      <c r="BD28" s="131">
        <f t="shared" ref="BD28:BI28" si="2">BD27/BD26</f>
        <v>0.85034013605442182</v>
      </c>
      <c r="BE28" s="131">
        <f t="shared" si="2"/>
        <v>1.4172335600907029</v>
      </c>
      <c r="BF28" s="131">
        <f t="shared" si="2"/>
        <v>1.984126984126984</v>
      </c>
      <c r="BG28" s="131">
        <f t="shared" si="2"/>
        <v>2.5510204081632653</v>
      </c>
      <c r="BH28" s="131">
        <f t="shared" si="2"/>
        <v>3.1179138321995459</v>
      </c>
      <c r="BI28" s="132">
        <f t="shared" si="2"/>
        <v>1.7006802721088436</v>
      </c>
      <c r="BJ28" s="44"/>
      <c r="BK28" s="44"/>
      <c r="BL28" s="44"/>
      <c r="BM28" s="44"/>
      <c r="BN28" s="44"/>
      <c r="BO28" s="44"/>
      <c r="BP28" s="44"/>
      <c r="BQ28" s="103" t="str">
        <f>IF(BQ20="proprietà",BQ38,IF(BQ20="occupazione",BQ48,IF(BQ20="pedoni/ciclisti",AU15,IF(BQ20="traffico 30 Km/h",AU65,IF(BQ20="traffico 50 km/h",AU57,IF(BQ20="traffico 70 Km/h",AU49,IF(BQ20="traffico 90 Km/h",AU41,IF(BQ20="traffico 110 km/h",AU33, " "))))))))</f>
        <v xml:space="preserve"> </v>
      </c>
      <c r="BR28" s="104">
        <v>7</v>
      </c>
      <c r="BS28" s="49"/>
      <c r="BU28" s="133"/>
    </row>
    <row r="29" spans="2:73" ht="15" customHeight="1" thickBot="1" x14ac:dyDescent="0.35">
      <c r="B29" s="134" t="s">
        <v>1593</v>
      </c>
      <c r="C29" s="135"/>
      <c r="D29" s="135"/>
      <c r="E29" s="629"/>
      <c r="F29" s="629"/>
      <c r="G29" s="630"/>
      <c r="H29" s="544" t="str">
        <f>IF(E29="","",VLOOKUP(E29,A!$B$4:$C$14,2,FALSE))</f>
        <v/>
      </c>
      <c r="I29" s="544"/>
      <c r="J29" s="544"/>
      <c r="K29" s="544"/>
      <c r="L29" s="544"/>
      <c r="M29" s="544"/>
      <c r="N29" s="544"/>
      <c r="O29" s="544"/>
      <c r="P29" s="544"/>
      <c r="Q29" s="544"/>
      <c r="R29" s="544"/>
      <c r="S29" s="544"/>
      <c r="T29" s="136"/>
      <c r="U29" s="137"/>
      <c r="V29" s="114"/>
      <c r="AA29" s="28" t="s">
        <v>611</v>
      </c>
      <c r="AB29" s="15"/>
      <c r="AC29" s="138" t="s">
        <v>601</v>
      </c>
      <c r="AD29" s="99"/>
      <c r="AE29" s="138" t="s">
        <v>595</v>
      </c>
      <c r="AF29" s="15"/>
      <c r="AG29" s="15" t="s">
        <v>469</v>
      </c>
      <c r="AH29" s="99"/>
      <c r="AI29" s="15" t="s">
        <v>135</v>
      </c>
      <c r="AJ29" s="99"/>
      <c r="AK29" s="15"/>
      <c r="AL29" s="17"/>
      <c r="AT29" s="65">
        <v>3</v>
      </c>
      <c r="AU29" s="66" t="e">
        <f>"da "&amp;ROUND(BH36,0)&amp;" a "&amp;ROUND(BH34,0)&amp;" auto a 110 kmh"</f>
        <v>#DIV/0!</v>
      </c>
      <c r="AV29" s="45"/>
      <c r="AW29" s="45"/>
      <c r="AX29" s="46">
        <v>3</v>
      </c>
      <c r="AY29" s="66" t="e">
        <f>"da "&amp;ROUND(BH58,0)&amp;" a "&amp;ROUND(BH56,0)&amp;" auto/giorno a 110 kmh"</f>
        <v>#DIV/0!</v>
      </c>
      <c r="AZ29" s="66"/>
      <c r="BA29" s="45"/>
      <c r="BB29" s="45"/>
      <c r="BC29" s="57" t="s">
        <v>175</v>
      </c>
      <c r="BD29" s="46">
        <f>($J$9+$C$9)/2</f>
        <v>0</v>
      </c>
      <c r="BE29" s="46">
        <f t="shared" ref="BE29:BI29" si="3">($J$9+$C$9)/2</f>
        <v>0</v>
      </c>
      <c r="BF29" s="46">
        <f t="shared" si="3"/>
        <v>0</v>
      </c>
      <c r="BG29" s="46">
        <f t="shared" si="3"/>
        <v>0</v>
      </c>
      <c r="BH29" s="46">
        <f t="shared" si="3"/>
        <v>0</v>
      </c>
      <c r="BI29" s="46">
        <f t="shared" si="3"/>
        <v>0</v>
      </c>
      <c r="BJ29" s="44"/>
      <c r="BK29" s="44"/>
      <c r="BL29" s="44"/>
      <c r="BM29" s="44"/>
      <c r="BN29" s="44"/>
      <c r="BO29" s="44"/>
      <c r="BP29" s="44"/>
      <c r="BQ29" s="44"/>
      <c r="BR29" s="44"/>
      <c r="BS29" s="105"/>
      <c r="BU29" s="133"/>
    </row>
    <row r="30" spans="2:73" ht="15" customHeight="1" x14ac:dyDescent="0.3">
      <c r="B30" s="655" t="s">
        <v>1634</v>
      </c>
      <c r="C30" s="656"/>
      <c r="D30" s="656"/>
      <c r="E30" s="656"/>
      <c r="F30" s="656"/>
      <c r="G30" s="656"/>
      <c r="H30" s="656"/>
      <c r="I30" s="656"/>
      <c r="J30" s="656"/>
      <c r="K30" s="656"/>
      <c r="L30" s="656"/>
      <c r="M30" s="656"/>
      <c r="N30" s="656"/>
      <c r="O30" s="656"/>
      <c r="P30" s="656"/>
      <c r="Q30" s="656"/>
      <c r="R30" s="656"/>
      <c r="S30" s="656"/>
      <c r="T30" s="656"/>
      <c r="U30" s="657"/>
      <c r="V30" s="114"/>
      <c r="AA30" s="28" t="s">
        <v>1324</v>
      </c>
      <c r="AB30" s="15"/>
      <c r="AC30" s="15"/>
      <c r="AD30" s="99"/>
      <c r="AE30" s="15"/>
      <c r="AF30" s="15"/>
      <c r="AG30" s="15" t="s">
        <v>161</v>
      </c>
      <c r="AH30" s="100"/>
      <c r="AI30" s="15" t="s">
        <v>1325</v>
      </c>
      <c r="AJ30" s="99"/>
      <c r="AK30" s="15" t="s">
        <v>1009</v>
      </c>
      <c r="AL30" s="17" t="s">
        <v>1321</v>
      </c>
      <c r="AT30" s="65">
        <v>4</v>
      </c>
      <c r="AU30" s="66" t="e">
        <f>"da "&amp;ROUND(BH38,0)&amp;" a "&amp;ROUND(BH36,0)&amp;" auto/giorno a 110 kmh"</f>
        <v>#DIV/0!</v>
      </c>
      <c r="AV30" s="45"/>
      <c r="AW30" s="45"/>
      <c r="AX30" s="46">
        <v>4</v>
      </c>
      <c r="AY30" s="66" t="e">
        <f>"da "&amp;ROUND(BH60,0)&amp;" a "&amp;ROUND(BH58,0)&amp;" auto/giorno a 110 kmh"</f>
        <v>#DIV/0!</v>
      </c>
      <c r="AZ30" s="66"/>
      <c r="BA30" s="45"/>
      <c r="BB30" s="45"/>
      <c r="BC30" s="57" t="s">
        <v>1693</v>
      </c>
      <c r="BD30" s="139">
        <f t="shared" ref="BD30:BI30" si="4">BD29/BD26</f>
        <v>0</v>
      </c>
      <c r="BE30" s="139">
        <f t="shared" si="4"/>
        <v>0</v>
      </c>
      <c r="BF30" s="139">
        <f t="shared" si="4"/>
        <v>0</v>
      </c>
      <c r="BG30" s="139">
        <f t="shared" si="4"/>
        <v>0</v>
      </c>
      <c r="BH30" s="139">
        <f t="shared" si="4"/>
        <v>0</v>
      </c>
      <c r="BI30" s="139">
        <f t="shared" si="4"/>
        <v>0</v>
      </c>
      <c r="BJ30" s="57" t="s">
        <v>184</v>
      </c>
      <c r="BK30" s="46">
        <v>30</v>
      </c>
      <c r="BL30" s="46">
        <v>50</v>
      </c>
      <c r="BM30" s="46">
        <v>70</v>
      </c>
      <c r="BN30" s="46">
        <v>90</v>
      </c>
      <c r="BO30" s="46">
        <v>110</v>
      </c>
      <c r="BP30" s="44"/>
      <c r="BQ30" s="44"/>
      <c r="BR30" s="44"/>
      <c r="BS30" s="105"/>
    </row>
    <row r="31" spans="2:73" ht="15" customHeight="1" x14ac:dyDescent="0.3">
      <c r="B31" s="140"/>
      <c r="C31" s="551" t="s">
        <v>1241</v>
      </c>
      <c r="D31" s="551"/>
      <c r="E31" s="551"/>
      <c r="F31" s="551"/>
      <c r="G31" s="141" t="s">
        <v>1183</v>
      </c>
      <c r="H31" s="709" t="s">
        <v>1599</v>
      </c>
      <c r="I31" s="710"/>
      <c r="J31" s="552" t="s">
        <v>1240</v>
      </c>
      <c r="K31" s="553"/>
      <c r="L31" s="554"/>
      <c r="M31" s="142"/>
      <c r="N31" s="551" t="s">
        <v>1595</v>
      </c>
      <c r="O31" s="551"/>
      <c r="P31" s="551"/>
      <c r="Q31" s="551"/>
      <c r="R31" s="141" t="s">
        <v>1183</v>
      </c>
      <c r="S31" s="552" t="s">
        <v>1240</v>
      </c>
      <c r="T31" s="553"/>
      <c r="U31" s="555"/>
      <c r="V31" s="114"/>
      <c r="AA31" s="28" t="s">
        <v>1327</v>
      </c>
      <c r="AB31" s="113"/>
      <c r="AC31" s="15" t="s">
        <v>621</v>
      </c>
      <c r="AD31" s="99" t="s">
        <v>1328</v>
      </c>
      <c r="AE31" s="90" t="s">
        <v>621</v>
      </c>
      <c r="AF31" s="15" t="s">
        <v>1329</v>
      </c>
      <c r="AG31" s="15" t="s">
        <v>146</v>
      </c>
      <c r="AH31" s="100"/>
      <c r="AI31" s="15" t="s">
        <v>604</v>
      </c>
      <c r="AJ31" s="99"/>
      <c r="AK31" s="15" t="s">
        <v>133</v>
      </c>
      <c r="AL31" s="17"/>
      <c r="AT31" s="65">
        <v>5</v>
      </c>
      <c r="AU31" s="66" t="e">
        <f>"da "&amp;ROUND(BH40,1)&amp;" a "&amp;ROUND(BH38,0)&amp;" auto/giorno a 110 kmh"</f>
        <v>#DIV/0!</v>
      </c>
      <c r="AV31" s="45"/>
      <c r="AW31" s="45"/>
      <c r="AX31" s="46">
        <v>5</v>
      </c>
      <c r="AY31" s="66" t="e">
        <f>"da "&amp;ROUND(BH62,1)&amp;" a "&amp;ROUND(BH60,0)&amp;" auto/giorno a 110 kmh"</f>
        <v>#DIV/0!</v>
      </c>
      <c r="AZ31" s="66"/>
      <c r="BA31" s="45"/>
      <c r="BB31" s="45"/>
      <c r="BC31" s="143" t="s">
        <v>9</v>
      </c>
      <c r="BD31" s="144" t="e">
        <f>MIN(86400/BD28,86400/BD30)/$BD$24</f>
        <v>#DIV/0!</v>
      </c>
      <c r="BE31" s="144" t="e">
        <f t="shared" ref="BE31:BI31" si="5">MIN(86400/BE28,86400/BE30)/$BD$24</f>
        <v>#DIV/0!</v>
      </c>
      <c r="BF31" s="144" t="e">
        <f t="shared" si="5"/>
        <v>#DIV/0!</v>
      </c>
      <c r="BG31" s="144" t="e">
        <f t="shared" si="5"/>
        <v>#DIV/0!</v>
      </c>
      <c r="BH31" s="144" t="e">
        <f t="shared" si="5"/>
        <v>#DIV/0!</v>
      </c>
      <c r="BI31" s="144" t="e">
        <f t="shared" si="5"/>
        <v>#DIV/0!</v>
      </c>
      <c r="BJ31" s="44"/>
      <c r="BK31" s="145" t="e">
        <f>86400/BD31</f>
        <v>#DIV/0!</v>
      </c>
      <c r="BL31" s="145" t="e">
        <f t="shared" ref="BL31:BO31" si="6">86400/BE31</f>
        <v>#DIV/0!</v>
      </c>
      <c r="BM31" s="145" t="e">
        <f t="shared" si="6"/>
        <v>#DIV/0!</v>
      </c>
      <c r="BN31" s="145" t="e">
        <f t="shared" si="6"/>
        <v>#DIV/0!</v>
      </c>
      <c r="BO31" s="145" t="e">
        <f t="shared" si="6"/>
        <v>#DIV/0!</v>
      </c>
      <c r="BP31" s="144" t="s">
        <v>6</v>
      </c>
      <c r="BQ31" s="146" t="s">
        <v>182</v>
      </c>
      <c r="BR31" s="44"/>
      <c r="BS31" s="105"/>
    </row>
    <row r="32" spans="2:73" ht="15" customHeight="1" x14ac:dyDescent="0.3">
      <c r="B32" s="147"/>
      <c r="C32" s="694"/>
      <c r="D32" s="694"/>
      <c r="E32" s="694"/>
      <c r="F32" s="694"/>
      <c r="G32" s="557" t="e">
        <f>VLOOKUP(B33,BQ22:BR28,2,FALSE)</f>
        <v>#N/A</v>
      </c>
      <c r="H32" s="698">
        <v>1</v>
      </c>
      <c r="I32" s="696" t="s">
        <v>1598</v>
      </c>
      <c r="J32" s="559" t="s">
        <v>466</v>
      </c>
      <c r="K32" s="560"/>
      <c r="L32" s="149" t="s">
        <v>1183</v>
      </c>
      <c r="M32" s="150"/>
      <c r="N32" s="694"/>
      <c r="O32" s="694"/>
      <c r="P32" s="694"/>
      <c r="Q32" s="694"/>
      <c r="R32" s="557" t="e">
        <f>VLOOKUP(M33,BQ9:BR15,2,FALSE)</f>
        <v>#N/A</v>
      </c>
      <c r="S32" s="148" t="s">
        <v>466</v>
      </c>
      <c r="T32" s="560" t="s">
        <v>1183</v>
      </c>
      <c r="U32" s="561"/>
      <c r="V32" s="114"/>
      <c r="AA32" s="28" t="s">
        <v>132</v>
      </c>
      <c r="AB32" s="15"/>
      <c r="AC32" s="15" t="s">
        <v>1317</v>
      </c>
      <c r="AD32" s="15"/>
      <c r="AE32" s="99" t="s">
        <v>1317</v>
      </c>
      <c r="AF32" s="99"/>
      <c r="AG32" s="15" t="s">
        <v>642</v>
      </c>
      <c r="AH32" s="99"/>
      <c r="AI32" s="15" t="s">
        <v>128</v>
      </c>
      <c r="AJ32" s="99"/>
      <c r="AK32" s="15" t="s">
        <v>134</v>
      </c>
      <c r="AL32" s="17"/>
      <c r="AT32" s="65">
        <v>6</v>
      </c>
      <c r="AU32" s="66" t="e">
        <f>"da "&amp;ROUND(BH42,2)&amp;" a "&amp;ROUND(BH40,0)&amp;" auto/giorno a 110 kmh"</f>
        <v>#DIV/0!</v>
      </c>
      <c r="AV32" s="45"/>
      <c r="AW32" s="45"/>
      <c r="AX32" s="46">
        <v>6</v>
      </c>
      <c r="AY32" s="66" t="e">
        <f>"da "&amp;ROUND(BH64,2)&amp;" a "&amp;ROUND(BH62,0)&amp;" auto/giorno a 110 kmh"</f>
        <v>#DIV/0!</v>
      </c>
      <c r="AZ32" s="66"/>
      <c r="BA32" s="45"/>
      <c r="BB32" s="45"/>
      <c r="BC32" s="143" t="s">
        <v>16</v>
      </c>
      <c r="BD32" s="151" t="e">
        <f>BD31/5</f>
        <v>#DIV/0!</v>
      </c>
      <c r="BE32" s="151" t="e">
        <f t="shared" ref="BE32:BI32" si="7">BE31/5</f>
        <v>#DIV/0!</v>
      </c>
      <c r="BF32" s="151" t="e">
        <f t="shared" si="7"/>
        <v>#DIV/0!</v>
      </c>
      <c r="BG32" s="151" t="e">
        <f t="shared" si="7"/>
        <v>#DIV/0!</v>
      </c>
      <c r="BH32" s="151" t="e">
        <f t="shared" si="7"/>
        <v>#DIV/0!</v>
      </c>
      <c r="BI32" s="151" t="e">
        <f t="shared" si="7"/>
        <v>#DIV/0!</v>
      </c>
      <c r="BJ32" s="44"/>
      <c r="BK32" s="144" t="e">
        <f t="shared" ref="BK32:BK33" si="8">86400/BD32</f>
        <v>#DIV/0!</v>
      </c>
      <c r="BL32" s="144" t="e">
        <f t="shared" ref="BL32:BL33" si="9">86400/BE32</f>
        <v>#DIV/0!</v>
      </c>
      <c r="BM32" s="144" t="e">
        <f t="shared" ref="BM32:BM33" si="10">86400/BF32</f>
        <v>#DIV/0!</v>
      </c>
      <c r="BN32" s="144" t="e">
        <f t="shared" ref="BN32:BN33" si="11">86400/BG32</f>
        <v>#DIV/0!</v>
      </c>
      <c r="BO32" s="144" t="e">
        <f t="shared" ref="BO32:BO33" si="12">86400/BH32</f>
        <v>#DIV/0!</v>
      </c>
      <c r="BP32" s="144" t="s">
        <v>6</v>
      </c>
      <c r="BQ32" s="152" t="s">
        <v>1010</v>
      </c>
      <c r="BR32" s="44"/>
      <c r="BS32" s="105"/>
    </row>
    <row r="33" spans="2:73" ht="15" customHeight="1" thickBot="1" x14ac:dyDescent="0.35">
      <c r="B33" s="695"/>
      <c r="C33" s="562"/>
      <c r="D33" s="562"/>
      <c r="E33" s="562"/>
      <c r="F33" s="562"/>
      <c r="G33" s="558"/>
      <c r="H33" s="699"/>
      <c r="I33" s="697"/>
      <c r="J33" s="563" t="str">
        <f>IF(OR($T$9="",$J$9=""),"err",((PI()/4*(($H$9/100)/PI())^2*$C$9*0.75*900)*(SQRT(3*9.8*($C$9-$T$9)))))</f>
        <v>err</v>
      </c>
      <c r="K33" s="564"/>
      <c r="L33" s="153" t="str">
        <f>IF(J33="err","",IF(J33&lt;5,7,IF(J33&lt;10,6,IF(J33&lt;50,5,IF(J33&lt;100,4,IF(J33&lt;1000,3,IF(J33&lt;10000,2,1)))))))</f>
        <v/>
      </c>
      <c r="M33" s="724"/>
      <c r="N33" s="725"/>
      <c r="O33" s="725"/>
      <c r="P33" s="725"/>
      <c r="Q33" s="725"/>
      <c r="R33" s="558"/>
      <c r="S33" s="154" t="str">
        <f>IF(OR($E$26="",$M$9="",$O$9="",$R$9=""),"err",((PI()/4*($M$9/100)^2*$O$9*0.75*900)*(SQRT(2*9.8*($R$9-$T$9)))))</f>
        <v>err</v>
      </c>
      <c r="T33" s="558" t="str">
        <f>IF(S33="err","",IF(S33="N.S.","-",IF(S33&lt;5,7,IF(S33&lt;10,6,IF(S33&lt;50,5,IF(S33&lt;100,4,IF(S33&lt;1000,3,IF(S33&lt;10000,2,1))))))))</f>
        <v/>
      </c>
      <c r="U33" s="566"/>
      <c r="V33" s="114"/>
      <c r="AA33" s="28" t="s">
        <v>129</v>
      </c>
      <c r="AB33" s="15"/>
      <c r="AC33" s="155" t="s">
        <v>157</v>
      </c>
      <c r="AD33" s="90"/>
      <c r="AE33" s="15" t="s">
        <v>594</v>
      </c>
      <c r="AF33" s="99"/>
      <c r="AG33" s="15" t="s">
        <v>627</v>
      </c>
      <c r="AH33" s="15"/>
      <c r="AI33" s="15" t="s">
        <v>603</v>
      </c>
      <c r="AJ33" s="99"/>
      <c r="AK33" s="15" t="s">
        <v>1326</v>
      </c>
      <c r="AL33" s="17"/>
      <c r="AT33" s="65">
        <v>7</v>
      </c>
      <c r="AU33" s="66" t="e">
        <f>"da "&amp;ROUND(BH43,2)&amp;" a "&amp;ROUND(BH42,2)&amp;" auto/giorno a 110 kmh"</f>
        <v>#DIV/0!</v>
      </c>
      <c r="AV33" s="45"/>
      <c r="AW33" s="45"/>
      <c r="AX33" s="46">
        <v>7</v>
      </c>
      <c r="AY33" s="66" t="e">
        <f>"da "&amp;ROUND(BH65,2)&amp;" a "&amp;ROUND(BH64,2)&amp;" auto/giorno a 110 kmh"</f>
        <v>#DIV/0!</v>
      </c>
      <c r="AZ33" s="66"/>
      <c r="BA33" s="45"/>
      <c r="BB33" s="45"/>
      <c r="BC33" s="143" t="s">
        <v>10</v>
      </c>
      <c r="BD33" s="151" t="e">
        <f t="shared" ref="BD33:BI33" si="13">BD31/10</f>
        <v>#DIV/0!</v>
      </c>
      <c r="BE33" s="151" t="e">
        <f t="shared" si="13"/>
        <v>#DIV/0!</v>
      </c>
      <c r="BF33" s="151" t="e">
        <f t="shared" si="13"/>
        <v>#DIV/0!</v>
      </c>
      <c r="BG33" s="151" t="e">
        <f t="shared" si="13"/>
        <v>#DIV/0!</v>
      </c>
      <c r="BH33" s="151" t="e">
        <f t="shared" si="13"/>
        <v>#DIV/0!</v>
      </c>
      <c r="BI33" s="151" t="e">
        <f t="shared" si="13"/>
        <v>#DIV/0!</v>
      </c>
      <c r="BJ33" s="44"/>
      <c r="BK33" s="144" t="e">
        <f t="shared" si="8"/>
        <v>#DIV/0!</v>
      </c>
      <c r="BL33" s="144" t="e">
        <f t="shared" si="9"/>
        <v>#DIV/0!</v>
      </c>
      <c r="BM33" s="144" t="e">
        <f t="shared" si="10"/>
        <v>#DIV/0!</v>
      </c>
      <c r="BN33" s="144" t="e">
        <f t="shared" si="11"/>
        <v>#DIV/0!</v>
      </c>
      <c r="BO33" s="144" t="e">
        <f t="shared" si="12"/>
        <v>#DIV/0!</v>
      </c>
      <c r="BP33" s="144" t="s">
        <v>6</v>
      </c>
      <c r="BQ33" s="152" t="s">
        <v>1011</v>
      </c>
      <c r="BR33" s="44"/>
      <c r="BS33" s="105"/>
      <c r="BU33" s="60" t="s">
        <v>1639</v>
      </c>
    </row>
    <row r="34" spans="2:73" ht="15" customHeight="1" thickBot="1" x14ac:dyDescent="0.35">
      <c r="B34" s="156"/>
      <c r="C34" s="157"/>
      <c r="D34" s="157"/>
      <c r="E34" s="700" t="s">
        <v>1587</v>
      </c>
      <c r="F34" s="701"/>
      <c r="G34" s="701"/>
      <c r="H34" s="158" t="str">
        <f>IF(H32=1,"","("&amp;H32&amp;"x)")</f>
        <v/>
      </c>
      <c r="I34" s="546" t="s">
        <v>1614</v>
      </c>
      <c r="J34" s="546"/>
      <c r="K34" s="546"/>
      <c r="L34" s="546"/>
      <c r="M34" s="546"/>
      <c r="N34" s="546"/>
      <c r="O34" s="546"/>
      <c r="P34" s="546"/>
      <c r="Q34" s="546"/>
      <c r="R34" s="546"/>
      <c r="S34" s="546"/>
      <c r="T34" s="546"/>
      <c r="U34" s="547"/>
      <c r="V34" s="114"/>
      <c r="Y34" s="29" t="s">
        <v>1169</v>
      </c>
      <c r="Z34" s="159" t="s">
        <v>1170</v>
      </c>
      <c r="AA34" s="28" t="s">
        <v>137</v>
      </c>
      <c r="AB34" s="15"/>
      <c r="AC34" s="15" t="s">
        <v>620</v>
      </c>
      <c r="AD34" s="90"/>
      <c r="AE34" s="99" t="s">
        <v>620</v>
      </c>
      <c r="AF34" s="99"/>
      <c r="AG34" s="15" t="s">
        <v>624</v>
      </c>
      <c r="AH34" s="15"/>
      <c r="AI34" s="15"/>
      <c r="AJ34" s="99"/>
      <c r="AK34" s="15" t="s">
        <v>1330</v>
      </c>
      <c r="AL34" s="17"/>
      <c r="AT34" s="65"/>
      <c r="AU34" s="66"/>
      <c r="AV34" s="45"/>
      <c r="AW34" s="45"/>
      <c r="AX34" s="46"/>
      <c r="AY34" s="66"/>
      <c r="AZ34" s="66"/>
      <c r="BA34" s="45"/>
      <c r="BB34" s="45"/>
      <c r="BC34" s="143" t="s">
        <v>17</v>
      </c>
      <c r="BD34" s="151" t="e">
        <f>BD33/5</f>
        <v>#DIV/0!</v>
      </c>
      <c r="BE34" s="151" t="e">
        <f t="shared" ref="BE34:BI34" si="14">BE33/5</f>
        <v>#DIV/0!</v>
      </c>
      <c r="BF34" s="151" t="e">
        <f t="shared" si="14"/>
        <v>#DIV/0!</v>
      </c>
      <c r="BG34" s="151" t="e">
        <f t="shared" si="14"/>
        <v>#DIV/0!</v>
      </c>
      <c r="BH34" s="151" t="e">
        <f t="shared" si="14"/>
        <v>#DIV/0!</v>
      </c>
      <c r="BI34" s="151" t="e">
        <f t="shared" si="14"/>
        <v>#DIV/0!</v>
      </c>
      <c r="BJ34" s="44"/>
      <c r="BK34" s="144" t="e">
        <f>1440/BD34</f>
        <v>#DIV/0!</v>
      </c>
      <c r="BL34" s="144" t="e">
        <f t="shared" ref="BL34:BO34" si="15">1440/BE34</f>
        <v>#DIV/0!</v>
      </c>
      <c r="BM34" s="144" t="e">
        <f t="shared" si="15"/>
        <v>#DIV/0!</v>
      </c>
      <c r="BN34" s="144" t="e">
        <f t="shared" si="15"/>
        <v>#DIV/0!</v>
      </c>
      <c r="BO34" s="144" t="e">
        <f t="shared" si="15"/>
        <v>#DIV/0!</v>
      </c>
      <c r="BP34" s="144" t="s">
        <v>7</v>
      </c>
      <c r="BQ34" s="152" t="s">
        <v>1012</v>
      </c>
      <c r="BR34" s="44"/>
      <c r="BS34" s="105"/>
    </row>
    <row r="35" spans="2:73" ht="15" customHeight="1" thickBot="1" x14ac:dyDescent="0.35">
      <c r="B35" s="685" t="s">
        <v>1585</v>
      </c>
      <c r="C35" s="686"/>
      <c r="D35" s="686"/>
      <c r="E35" s="687" t="str">
        <f>IF(E26="","",_xlfn.NUMBERVALUE(LEFT(E26,1)))</f>
        <v/>
      </c>
      <c r="F35" s="688"/>
      <c r="G35" s="689"/>
      <c r="H35" s="160" t="str">
        <f>IF(E35="","",IF(E35=0,"x",IF($H$32=1,$Y35,IF($H$32&gt;1,$Z35))))</f>
        <v/>
      </c>
      <c r="I35" s="715" t="str">
        <f>IF(H35="","",IF(H35="x","Approfondimento necessario",VLOOKUP(H35,A!$AP$4:$AQ$21,2,FALSE)))</f>
        <v/>
      </c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7"/>
      <c r="V35" s="114"/>
      <c r="X35" s="161" t="e">
        <f>$R$32&amp;$T$33&amp;$E35</f>
        <v>#N/A</v>
      </c>
      <c r="Y35" s="92" t="e">
        <f>IF(E35=0,"x",VLOOKUP(X35,A!$AM$4:$AN$346,2,FALSE))</f>
        <v>#N/A</v>
      </c>
      <c r="Z35" s="162" t="e">
        <f>VLOOKUP(VLOOKUP(Y35,A!$AP$4:$AR$21,3,FALSE)*$H$32,A!$AR$23:$AS$73,2,TRUE)</f>
        <v>#N/A</v>
      </c>
      <c r="AA35" s="28"/>
      <c r="AB35" s="15" t="s">
        <v>1334</v>
      </c>
      <c r="AC35" s="15" t="s">
        <v>625</v>
      </c>
      <c r="AD35" s="99"/>
      <c r="AE35" s="99" t="s">
        <v>625</v>
      </c>
      <c r="AF35" s="99"/>
      <c r="AG35" s="15" t="s">
        <v>641</v>
      </c>
      <c r="AH35" s="100"/>
      <c r="AI35" s="15" t="s">
        <v>621</v>
      </c>
      <c r="AJ35" s="15" t="s">
        <v>1332</v>
      </c>
      <c r="AK35" s="15" t="s">
        <v>130</v>
      </c>
      <c r="AL35" s="17"/>
      <c r="AN35" s="102"/>
      <c r="AT35" s="65">
        <v>1</v>
      </c>
      <c r="AU35" s="66" t="e">
        <f>"da "&amp;ROUND(BG32,0)&amp;" a "&amp;ROUND(BG31,0)&amp;" auto/giorno a 90 kmh"</f>
        <v>#DIV/0!</v>
      </c>
      <c r="AV35" s="45"/>
      <c r="AW35" s="45"/>
      <c r="AX35" s="46">
        <v>1</v>
      </c>
      <c r="AY35" s="66" t="e">
        <f>"da "&amp;ROUND(BG54,0)&amp;" a "&amp;ROUND(BG53,0)&amp;" auto/giorno a 90 kmh"</f>
        <v>#DIV/0!</v>
      </c>
      <c r="AZ35" s="66"/>
      <c r="BA35" s="45"/>
      <c r="BB35" s="45"/>
      <c r="BC35" s="143" t="s">
        <v>11</v>
      </c>
      <c r="BD35" s="163" t="e">
        <f t="shared" ref="BD35:BI35" si="16">BD33/10</f>
        <v>#DIV/0!</v>
      </c>
      <c r="BE35" s="163" t="e">
        <f t="shared" si="16"/>
        <v>#DIV/0!</v>
      </c>
      <c r="BF35" s="163" t="e">
        <f t="shared" si="16"/>
        <v>#DIV/0!</v>
      </c>
      <c r="BG35" s="163" t="e">
        <f t="shared" si="16"/>
        <v>#DIV/0!</v>
      </c>
      <c r="BH35" s="163" t="e">
        <f t="shared" si="16"/>
        <v>#DIV/0!</v>
      </c>
      <c r="BI35" s="163" t="e">
        <f t="shared" si="16"/>
        <v>#DIV/0!</v>
      </c>
      <c r="BJ35" s="44"/>
      <c r="BK35" s="144" t="e">
        <f t="shared" ref="BK35:BK43" si="17">1440/BD35</f>
        <v>#DIV/0!</v>
      </c>
      <c r="BL35" s="144" t="e">
        <f t="shared" ref="BL35:BL37" si="18">1440/BE35</f>
        <v>#DIV/0!</v>
      </c>
      <c r="BM35" s="144" t="e">
        <f t="shared" ref="BM35:BM37" si="19">1440/BF35</f>
        <v>#DIV/0!</v>
      </c>
      <c r="BN35" s="144" t="e">
        <f t="shared" ref="BN35:BN37" si="20">1440/BG35</f>
        <v>#DIV/0!</v>
      </c>
      <c r="BO35" s="144" t="e">
        <f t="shared" ref="BO35:BO37" si="21">1440/BH35</f>
        <v>#DIV/0!</v>
      </c>
      <c r="BP35" s="144" t="s">
        <v>7</v>
      </c>
      <c r="BQ35" s="152" t="s">
        <v>1013</v>
      </c>
      <c r="BR35" s="44"/>
      <c r="BS35" s="105"/>
    </row>
    <row r="36" spans="2:73" ht="15" customHeight="1" x14ac:dyDescent="0.3">
      <c r="B36" s="575" t="s">
        <v>1586</v>
      </c>
      <c r="C36" s="576"/>
      <c r="D36" s="576"/>
      <c r="E36" s="690" t="str">
        <f>IF(E27="","",_xlfn.NUMBERVALUE(LEFT(E27,1)))</f>
        <v/>
      </c>
      <c r="F36" s="557"/>
      <c r="G36" s="691"/>
      <c r="H36" s="164" t="str">
        <f>IF(E36="","",IF(E36=0,"x",IF($H$32=1,$Y36,IF($H$32&gt;1,$Z36))))</f>
        <v/>
      </c>
      <c r="I36" s="718" t="str">
        <f>IF(H36="","",IF(H36="x","Approfondimento necessario",VLOOKUP(H36,A!$AP$4:$AQ$21,2,FALSE)))</f>
        <v/>
      </c>
      <c r="J36" s="718"/>
      <c r="K36" s="718"/>
      <c r="L36" s="718"/>
      <c r="M36" s="718"/>
      <c r="N36" s="718"/>
      <c r="O36" s="718"/>
      <c r="P36" s="718"/>
      <c r="Q36" s="718"/>
      <c r="R36" s="718"/>
      <c r="S36" s="718"/>
      <c r="T36" s="718"/>
      <c r="U36" s="719"/>
      <c r="V36" s="114"/>
      <c r="X36" s="165" t="e">
        <f>$G$32&amp;$L$33&amp;$E36</f>
        <v>#N/A</v>
      </c>
      <c r="Y36" s="166" t="e">
        <f>IF(E36=0,"x",VLOOKUP(X36,A!$AM$4:$AN$346,2,FALSE))</f>
        <v>#N/A</v>
      </c>
      <c r="Z36" s="167" t="e">
        <f>VLOOKUP(VLOOKUP(Y36,A!$AP$4:$AR$21,3,FALSE)*$H$32,A!$AR$23:$AS$73,2,TRUE)</f>
        <v>#N/A</v>
      </c>
      <c r="AA36" s="28" t="s">
        <v>1333</v>
      </c>
      <c r="AC36" s="15" t="s">
        <v>164</v>
      </c>
      <c r="AD36" s="99"/>
      <c r="AE36" s="90" t="s">
        <v>163</v>
      </c>
      <c r="AF36" s="90"/>
      <c r="AG36" s="15" t="s">
        <v>139</v>
      </c>
      <c r="AH36" s="15"/>
      <c r="AI36" s="15" t="s">
        <v>1317</v>
      </c>
      <c r="AJ36" s="100"/>
      <c r="AK36" s="99"/>
      <c r="AL36" s="168"/>
      <c r="AN36" s="102"/>
      <c r="AT36" s="65">
        <v>2</v>
      </c>
      <c r="AU36" s="66" t="e">
        <f>"da "&amp;ROUND(BG34,0)&amp;" a "&amp;ROUND(BG32,0)&amp;" auto/giorno a 90 kmh"</f>
        <v>#DIV/0!</v>
      </c>
      <c r="AV36" s="45"/>
      <c r="AW36" s="45"/>
      <c r="AX36" s="46">
        <v>2</v>
      </c>
      <c r="AY36" s="66" t="e">
        <f>"da "&amp;ROUND(BG56,0)&amp;" a "&amp;ROUND(BG54,0)&amp;" auto/giorno a 90 kmh"</f>
        <v>#DIV/0!</v>
      </c>
      <c r="AZ36" s="66"/>
      <c r="BA36" s="45"/>
      <c r="BB36" s="45"/>
      <c r="BC36" s="143" t="s">
        <v>18</v>
      </c>
      <c r="BD36" s="151" t="e">
        <f>BD35/5</f>
        <v>#DIV/0!</v>
      </c>
      <c r="BE36" s="151" t="e">
        <f t="shared" ref="BE36:BI36" si="22">BE35/5</f>
        <v>#DIV/0!</v>
      </c>
      <c r="BF36" s="151" t="e">
        <f t="shared" si="22"/>
        <v>#DIV/0!</v>
      </c>
      <c r="BG36" s="151" t="e">
        <f t="shared" si="22"/>
        <v>#DIV/0!</v>
      </c>
      <c r="BH36" s="151" t="e">
        <f t="shared" si="22"/>
        <v>#DIV/0!</v>
      </c>
      <c r="BI36" s="151" t="e">
        <f t="shared" si="22"/>
        <v>#DIV/0!</v>
      </c>
      <c r="BJ36" s="44"/>
      <c r="BK36" s="144" t="e">
        <f t="shared" si="17"/>
        <v>#DIV/0!</v>
      </c>
      <c r="BL36" s="144" t="e">
        <f t="shared" si="18"/>
        <v>#DIV/0!</v>
      </c>
      <c r="BM36" s="144" t="e">
        <f t="shared" si="19"/>
        <v>#DIV/0!</v>
      </c>
      <c r="BN36" s="144" t="e">
        <f t="shared" si="20"/>
        <v>#DIV/0!</v>
      </c>
      <c r="BO36" s="144" t="e">
        <f t="shared" si="21"/>
        <v>#DIV/0!</v>
      </c>
      <c r="BP36" s="144" t="s">
        <v>7</v>
      </c>
      <c r="BQ36" s="152" t="s">
        <v>1014</v>
      </c>
      <c r="BR36" s="44"/>
      <c r="BS36" s="105"/>
    </row>
    <row r="37" spans="2:73" ht="15" customHeight="1" thickBot="1" x14ac:dyDescent="0.35">
      <c r="B37" s="575" t="s">
        <v>169</v>
      </c>
      <c r="C37" s="576"/>
      <c r="D37" s="576"/>
      <c r="E37" s="690" t="str">
        <f>IF(E28="","",_xlfn.NUMBERVALUE(LEFT(E28,1)))</f>
        <v/>
      </c>
      <c r="F37" s="557"/>
      <c r="G37" s="691"/>
      <c r="H37" s="164" t="str">
        <f>IF(E37="","",IF(E37=0,"x",IF($H$32=1,$Y37,IF($H$32&gt;1,$Z37))))</f>
        <v/>
      </c>
      <c r="I37" s="718" t="str">
        <f>IF(H37="","",IF(H37="x","Approfondimento necessario",VLOOKUP(H37,A!$AP$4:$AQ$21,2,FALSE)))</f>
        <v/>
      </c>
      <c r="J37" s="718"/>
      <c r="K37" s="718"/>
      <c r="L37" s="718"/>
      <c r="M37" s="718"/>
      <c r="N37" s="718"/>
      <c r="O37" s="718"/>
      <c r="P37" s="718"/>
      <c r="Q37" s="718"/>
      <c r="R37" s="718"/>
      <c r="S37" s="718"/>
      <c r="T37" s="718"/>
      <c r="U37" s="719"/>
      <c r="V37" s="114"/>
      <c r="X37" s="165" t="e">
        <f>$G$32&amp;$L$33&amp;$E37</f>
        <v>#N/A</v>
      </c>
      <c r="Y37" s="166" t="e">
        <f>IF(E37=0,"x",VLOOKUP(X37,A!$AM$4:$AN$346,2,FALSE))</f>
        <v>#N/A</v>
      </c>
      <c r="Z37" s="167" t="e">
        <f>VLOOKUP(VLOOKUP(Y37,A!$AP$4:$AR$21,3,FALSE)*$H$32,A!$AR$23:$AS$73,2,TRUE)</f>
        <v>#N/A</v>
      </c>
      <c r="AA37" s="28" t="s">
        <v>469</v>
      </c>
      <c r="AB37" s="15"/>
      <c r="AC37" s="15" t="s">
        <v>469</v>
      </c>
      <c r="AD37" s="99"/>
      <c r="AE37" s="169" t="s">
        <v>469</v>
      </c>
      <c r="AF37" s="90"/>
      <c r="AG37" s="15" t="s">
        <v>592</v>
      </c>
      <c r="AH37" s="15"/>
      <c r="AI37" s="15" t="s">
        <v>151</v>
      </c>
      <c r="AJ37" s="15"/>
      <c r="AK37" s="15" t="s">
        <v>467</v>
      </c>
      <c r="AL37" s="17" t="s">
        <v>1331</v>
      </c>
      <c r="AT37" s="65">
        <v>3</v>
      </c>
      <c r="AU37" s="66" t="e">
        <f>"da "&amp;ROUND(BG36,0)&amp;" a "&amp;ROUND(BG34,0)&amp;" auto/giorno a 90 kmh"</f>
        <v>#DIV/0!</v>
      </c>
      <c r="AV37" s="45"/>
      <c r="AW37" s="45"/>
      <c r="AX37" s="46">
        <v>3</v>
      </c>
      <c r="AY37" s="66" t="e">
        <f>"da "&amp;ROUND(BG58,0)&amp;" a "&amp;ROUND(BG56,0)&amp;" auto/giorno a 90 kmh"</f>
        <v>#DIV/0!</v>
      </c>
      <c r="AZ37" s="66"/>
      <c r="BA37" s="45"/>
      <c r="BB37" s="45"/>
      <c r="BC37" s="143" t="s">
        <v>12</v>
      </c>
      <c r="BD37" s="170" t="e">
        <f t="shared" ref="BD37:BI37" si="23">BD35/10</f>
        <v>#DIV/0!</v>
      </c>
      <c r="BE37" s="170" t="e">
        <f t="shared" si="23"/>
        <v>#DIV/0!</v>
      </c>
      <c r="BF37" s="170" t="e">
        <f t="shared" si="23"/>
        <v>#DIV/0!</v>
      </c>
      <c r="BG37" s="170" t="e">
        <f t="shared" si="23"/>
        <v>#DIV/0!</v>
      </c>
      <c r="BH37" s="170" t="e">
        <f t="shared" si="23"/>
        <v>#DIV/0!</v>
      </c>
      <c r="BI37" s="170" t="e">
        <f t="shared" si="23"/>
        <v>#DIV/0!</v>
      </c>
      <c r="BJ37" s="44"/>
      <c r="BK37" s="144" t="e">
        <f t="shared" si="17"/>
        <v>#DIV/0!</v>
      </c>
      <c r="BL37" s="144" t="e">
        <f t="shared" si="18"/>
        <v>#DIV/0!</v>
      </c>
      <c r="BM37" s="144" t="e">
        <f t="shared" si="19"/>
        <v>#DIV/0!</v>
      </c>
      <c r="BN37" s="144" t="e">
        <f t="shared" si="20"/>
        <v>#DIV/0!</v>
      </c>
      <c r="BO37" s="144" t="e">
        <f t="shared" si="21"/>
        <v>#DIV/0!</v>
      </c>
      <c r="BP37" s="144" t="s">
        <v>7</v>
      </c>
      <c r="BQ37" s="152" t="s">
        <v>1015</v>
      </c>
      <c r="BR37" s="44"/>
      <c r="BS37" s="105"/>
    </row>
    <row r="38" spans="2:73" ht="15" customHeight="1" thickBot="1" x14ac:dyDescent="0.35">
      <c r="B38" s="596" t="s">
        <v>1584</v>
      </c>
      <c r="C38" s="597"/>
      <c r="D38" s="597"/>
      <c r="E38" s="692" t="str">
        <f>IF(E29="","",_xlfn.NUMBERVALUE(LEFT(E29,1)))</f>
        <v/>
      </c>
      <c r="F38" s="558"/>
      <c r="G38" s="693"/>
      <c r="H38" s="171" t="str">
        <f>IF(E38="","",IF(E38=0,"x",IF($H$32=1,$Y38,IF($H$32&gt;1,$Z38))))</f>
        <v/>
      </c>
      <c r="I38" s="720" t="str">
        <f>IF(H38="","",IF(H38="x","Approfondimento necessario",VLOOKUP(H38,A!$AP$4:$AQ$21,2,FALSE)))</f>
        <v/>
      </c>
      <c r="J38" s="720"/>
      <c r="K38" s="720"/>
      <c r="L38" s="720"/>
      <c r="M38" s="720"/>
      <c r="N38" s="720"/>
      <c r="O38" s="720"/>
      <c r="P38" s="720"/>
      <c r="Q38" s="720"/>
      <c r="R38" s="720"/>
      <c r="S38" s="720"/>
      <c r="T38" s="720"/>
      <c r="U38" s="721"/>
      <c r="V38" s="114"/>
      <c r="X38" s="161" t="e">
        <f>$G$32&amp;$L$33&amp;LEFT($E38,1)</f>
        <v>#N/A</v>
      </c>
      <c r="Y38" s="92" t="e">
        <f>IF(E38=0,"x",VLOOKUP(X38,A!$AM$4:$AN$346,2,FALSE))</f>
        <v>#N/A</v>
      </c>
      <c r="Z38" s="162" t="e">
        <f>VLOOKUP(VLOOKUP(Y38,A!$AP$4:$AR$21,3,FALSE)*$H$32,A!$AR$23:$AS$73,2,TRUE)</f>
        <v>#N/A</v>
      </c>
      <c r="AA38" s="28" t="s">
        <v>1335</v>
      </c>
      <c r="AB38" s="15"/>
      <c r="AC38" s="15" t="s">
        <v>161</v>
      </c>
      <c r="AD38" s="99"/>
      <c r="AE38" s="90" t="s">
        <v>161</v>
      </c>
      <c r="AF38" s="99"/>
      <c r="AG38" s="15" t="s">
        <v>1336</v>
      </c>
      <c r="AH38" s="15"/>
      <c r="AI38" s="15" t="s">
        <v>594</v>
      </c>
      <c r="AJ38" s="15"/>
      <c r="AK38" s="99"/>
      <c r="AL38" s="168"/>
      <c r="AT38" s="65">
        <v>4</v>
      </c>
      <c r="AU38" s="66" t="e">
        <f>"da "&amp;ROUND(BG38,0)&amp;" a "&amp;ROUND(BG36,0)&amp;" auto/giorno a 90 kmh"</f>
        <v>#DIV/0!</v>
      </c>
      <c r="AV38" s="45"/>
      <c r="AW38" s="45"/>
      <c r="AX38" s="46">
        <v>4</v>
      </c>
      <c r="AY38" s="66" t="e">
        <f>"da "&amp;ROUND(BG60,0)&amp;" a "&amp;ROUND(BG58,0)&amp;" auto/giorno a 90 kmh"</f>
        <v>#DIV/0!</v>
      </c>
      <c r="AZ38" s="66"/>
      <c r="BA38" s="45"/>
      <c r="BB38" s="45"/>
      <c r="BC38" s="143" t="s">
        <v>19</v>
      </c>
      <c r="BD38" s="151" t="e">
        <f>BD37/5</f>
        <v>#DIV/0!</v>
      </c>
      <c r="BE38" s="151" t="e">
        <f t="shared" ref="BE38:BI38" si="24">BE37/5</f>
        <v>#DIV/0!</v>
      </c>
      <c r="BF38" s="151" t="e">
        <f t="shared" si="24"/>
        <v>#DIV/0!</v>
      </c>
      <c r="BG38" s="151" t="e">
        <f t="shared" si="24"/>
        <v>#DIV/0!</v>
      </c>
      <c r="BH38" s="151" t="e">
        <f t="shared" si="24"/>
        <v>#DIV/0!</v>
      </c>
      <c r="BI38" s="151" t="e">
        <f t="shared" si="24"/>
        <v>#DIV/0!</v>
      </c>
      <c r="BJ38" s="44"/>
      <c r="BK38" s="144" t="e">
        <f t="shared" si="17"/>
        <v>#DIV/0!</v>
      </c>
      <c r="BL38" s="145" t="e">
        <f>24/BE38</f>
        <v>#DIV/0!</v>
      </c>
      <c r="BM38" s="145" t="e">
        <f t="shared" ref="BM38:BO38" si="25">24/BF38</f>
        <v>#DIV/0!</v>
      </c>
      <c r="BN38" s="145" t="e">
        <f t="shared" si="25"/>
        <v>#DIV/0!</v>
      </c>
      <c r="BO38" s="145" t="e">
        <f t="shared" si="25"/>
        <v>#DIV/0!</v>
      </c>
      <c r="BP38" s="144" t="s">
        <v>1</v>
      </c>
      <c r="BQ38" s="172" t="s">
        <v>1016</v>
      </c>
      <c r="BR38" s="44"/>
      <c r="BS38" s="105"/>
    </row>
    <row r="39" spans="2:73" ht="6" customHeight="1" thickBot="1" x14ac:dyDescent="0.35">
      <c r="V39" s="114"/>
      <c r="AA39" s="28" t="s">
        <v>1337</v>
      </c>
      <c r="AB39" s="15"/>
      <c r="AC39" s="15" t="s">
        <v>627</v>
      </c>
      <c r="AD39" s="90"/>
      <c r="AE39" s="15" t="s">
        <v>146</v>
      </c>
      <c r="AF39" s="99"/>
      <c r="AG39" s="91" t="s">
        <v>1337</v>
      </c>
      <c r="AH39" s="100"/>
      <c r="AI39" s="15" t="s">
        <v>620</v>
      </c>
      <c r="AJ39" s="15"/>
      <c r="AK39" s="173"/>
      <c r="AL39" s="174"/>
      <c r="AT39" s="65">
        <v>5</v>
      </c>
      <c r="AU39" s="66" t="e">
        <f>"da "&amp;ROUND(BG40,1)&amp;" a "&amp;ROUND(BG38,0)&amp;" auto/giorno a 90 kmh"</f>
        <v>#DIV/0!</v>
      </c>
      <c r="AV39" s="45"/>
      <c r="AW39" s="45"/>
      <c r="AX39" s="46">
        <v>5</v>
      </c>
      <c r="AY39" s="66" t="e">
        <f>"da "&amp;ROUND(BG62,1)&amp;" a "&amp;ROUND(BG60,0)&amp;" auto/giorno a 90 kmh"</f>
        <v>#DIV/0!</v>
      </c>
      <c r="AZ39" s="66"/>
      <c r="BA39" s="45"/>
      <c r="BB39" s="45"/>
      <c r="BC39" s="143" t="s">
        <v>13</v>
      </c>
      <c r="BD39" s="170" t="e">
        <f t="shared" ref="BD39:BI39" si="26">BD37/10</f>
        <v>#DIV/0!</v>
      </c>
      <c r="BE39" s="170" t="e">
        <f t="shared" si="26"/>
        <v>#DIV/0!</v>
      </c>
      <c r="BF39" s="170" t="e">
        <f t="shared" si="26"/>
        <v>#DIV/0!</v>
      </c>
      <c r="BG39" s="170" t="e">
        <f t="shared" si="26"/>
        <v>#DIV/0!</v>
      </c>
      <c r="BH39" s="170" t="e">
        <f t="shared" si="26"/>
        <v>#DIV/0!</v>
      </c>
      <c r="BI39" s="170" t="e">
        <f t="shared" si="26"/>
        <v>#DIV/0!</v>
      </c>
      <c r="BJ39" s="44"/>
      <c r="BK39" s="144" t="e">
        <f t="shared" si="17"/>
        <v>#DIV/0!</v>
      </c>
      <c r="BL39" s="145" t="e">
        <f t="shared" ref="BL39:BL40" si="27">24/BE39</f>
        <v>#DIV/0!</v>
      </c>
      <c r="BM39" s="145" t="e">
        <f t="shared" ref="BM39:BM40" si="28">24/BF39</f>
        <v>#DIV/0!</v>
      </c>
      <c r="BN39" s="145" t="e">
        <f t="shared" ref="BN39:BN40" si="29">24/BG39</f>
        <v>#DIV/0!</v>
      </c>
      <c r="BO39" s="145" t="e">
        <f t="shared" ref="BO39:BO40" si="30">24/BH39</f>
        <v>#DIV/0!</v>
      </c>
      <c r="BP39" s="144" t="s">
        <v>1</v>
      </c>
      <c r="BQ39" s="44"/>
      <c r="BR39" s="44"/>
      <c r="BS39" s="105"/>
    </row>
    <row r="40" spans="2:73" ht="15" customHeight="1" x14ac:dyDescent="0.3">
      <c r="B40" s="600" t="s">
        <v>123</v>
      </c>
      <c r="C40" s="601"/>
      <c r="D40" s="601"/>
      <c r="E40" s="601"/>
      <c r="F40" s="601"/>
      <c r="G40" s="601"/>
      <c r="H40" s="601"/>
      <c r="I40" s="601"/>
      <c r="J40" s="601"/>
      <c r="K40" s="601"/>
      <c r="L40" s="601"/>
      <c r="M40" s="601"/>
      <c r="N40" s="601"/>
      <c r="O40" s="601"/>
      <c r="P40" s="601"/>
      <c r="Q40" s="601"/>
      <c r="R40" s="601"/>
      <c r="S40" s="601"/>
      <c r="T40" s="601"/>
      <c r="U40" s="602"/>
      <c r="V40" s="114"/>
      <c r="AA40" s="175" t="s">
        <v>1340</v>
      </c>
      <c r="AB40" s="176" t="s">
        <v>1600</v>
      </c>
      <c r="AC40" s="15" t="s">
        <v>624</v>
      </c>
      <c r="AD40" s="90"/>
      <c r="AE40" s="15" t="s">
        <v>642</v>
      </c>
      <c r="AF40" s="99"/>
      <c r="AG40" s="15" t="s">
        <v>160</v>
      </c>
      <c r="AH40" s="100"/>
      <c r="AI40" s="15" t="s">
        <v>625</v>
      </c>
      <c r="AJ40" s="15"/>
      <c r="AK40" s="99"/>
      <c r="AL40" s="168"/>
      <c r="AT40" s="65">
        <v>6</v>
      </c>
      <c r="AU40" s="66" t="e">
        <f>"da "&amp;ROUND(BG42,2)&amp;" a "&amp;ROUND(BG40,0)&amp;" auto/giorno a 90 kmh"</f>
        <v>#DIV/0!</v>
      </c>
      <c r="AV40" s="45"/>
      <c r="AW40" s="45"/>
      <c r="AX40" s="46">
        <v>6</v>
      </c>
      <c r="AY40" s="66" t="e">
        <f>"da "&amp;ROUND(BG64,2)&amp;" a "&amp;ROUND(BG62,0)&amp;" auto/giorno a 90 kmh"</f>
        <v>#DIV/0!</v>
      </c>
      <c r="AZ40" s="66"/>
      <c r="BA40" s="45"/>
      <c r="BB40" s="45"/>
      <c r="BC40" s="143" t="s">
        <v>20</v>
      </c>
      <c r="BD40" s="151" t="e">
        <f>BD39/5</f>
        <v>#DIV/0!</v>
      </c>
      <c r="BE40" s="151" t="e">
        <f t="shared" ref="BE40:BI40" si="31">BE39/5</f>
        <v>#DIV/0!</v>
      </c>
      <c r="BF40" s="151" t="e">
        <f t="shared" si="31"/>
        <v>#DIV/0!</v>
      </c>
      <c r="BG40" s="151" t="e">
        <f t="shared" si="31"/>
        <v>#DIV/0!</v>
      </c>
      <c r="BH40" s="151" t="e">
        <f t="shared" si="31"/>
        <v>#DIV/0!</v>
      </c>
      <c r="BI40" s="151" t="e">
        <f t="shared" si="31"/>
        <v>#DIV/0!</v>
      </c>
      <c r="BJ40" s="44"/>
      <c r="BK40" s="144" t="e">
        <f t="shared" si="17"/>
        <v>#DIV/0!</v>
      </c>
      <c r="BL40" s="144" t="e">
        <f t="shared" si="27"/>
        <v>#DIV/0!</v>
      </c>
      <c r="BM40" s="144" t="e">
        <f t="shared" si="28"/>
        <v>#DIV/0!</v>
      </c>
      <c r="BN40" s="144" t="e">
        <f t="shared" si="29"/>
        <v>#DIV/0!</v>
      </c>
      <c r="BO40" s="144" t="e">
        <f t="shared" si="30"/>
        <v>#DIV/0!</v>
      </c>
      <c r="BP40" s="144" t="s">
        <v>1</v>
      </c>
      <c r="BQ40" s="44"/>
      <c r="BR40" s="44"/>
      <c r="BS40" s="105"/>
    </row>
    <row r="41" spans="2:73" ht="15" customHeight="1" x14ac:dyDescent="0.3">
      <c r="B41" s="603" t="s">
        <v>1574</v>
      </c>
      <c r="C41" s="580"/>
      <c r="D41" s="580"/>
      <c r="E41" s="580"/>
      <c r="F41" s="580"/>
      <c r="G41" s="580"/>
      <c r="H41" s="580"/>
      <c r="I41" s="580"/>
      <c r="J41" s="580" t="s">
        <v>122</v>
      </c>
      <c r="K41" s="580"/>
      <c r="L41" s="580" t="s">
        <v>1194</v>
      </c>
      <c r="M41" s="580"/>
      <c r="N41" s="580"/>
      <c r="O41" s="580" t="s">
        <v>122</v>
      </c>
      <c r="P41" s="580"/>
      <c r="Q41" s="580" t="s">
        <v>533</v>
      </c>
      <c r="R41" s="580"/>
      <c r="S41" s="580"/>
      <c r="T41" s="581" t="s">
        <v>1615</v>
      </c>
      <c r="U41" s="582"/>
      <c r="V41" s="114"/>
      <c r="AA41" s="28" t="s">
        <v>159</v>
      </c>
      <c r="AB41" s="15"/>
      <c r="AC41" s="15" t="s">
        <v>641</v>
      </c>
      <c r="AD41" s="99"/>
      <c r="AE41" s="15" t="s">
        <v>627</v>
      </c>
      <c r="AF41" s="99"/>
      <c r="AG41" s="15" t="s">
        <v>143</v>
      </c>
      <c r="AH41" s="15"/>
      <c r="AI41" s="15" t="s">
        <v>1322</v>
      </c>
      <c r="AJ41" s="100"/>
      <c r="AK41" s="99"/>
      <c r="AL41" s="168"/>
      <c r="AT41" s="65">
        <v>7</v>
      </c>
      <c r="AU41" s="66" t="e">
        <f>"da "&amp;ROUND(BG43,2)&amp;" a "&amp;ROUND(BG42,2)&amp;" auto/giorno a 90 kmh"</f>
        <v>#DIV/0!</v>
      </c>
      <c r="AV41" s="45"/>
      <c r="AW41" s="45"/>
      <c r="AX41" s="46">
        <v>7</v>
      </c>
      <c r="AY41" s="66" t="e">
        <f>"da "&amp;ROUND(BG65,2)&amp;" a "&amp;ROUND(BG64,2)&amp;" auto/giorno a 90 kmh"</f>
        <v>#DIV/0!</v>
      </c>
      <c r="AZ41" s="66"/>
      <c r="BA41" s="45"/>
      <c r="BB41" s="45"/>
      <c r="BC41" s="143" t="s">
        <v>14</v>
      </c>
      <c r="BD41" s="170" t="e">
        <f t="shared" ref="BD41:BI41" si="32">BD39/10</f>
        <v>#DIV/0!</v>
      </c>
      <c r="BE41" s="170" t="e">
        <f t="shared" si="32"/>
        <v>#DIV/0!</v>
      </c>
      <c r="BF41" s="170" t="e">
        <f t="shared" si="32"/>
        <v>#DIV/0!</v>
      </c>
      <c r="BG41" s="170" t="e">
        <f t="shared" si="32"/>
        <v>#DIV/0!</v>
      </c>
      <c r="BH41" s="170" t="e">
        <f t="shared" si="32"/>
        <v>#DIV/0!</v>
      </c>
      <c r="BI41" s="170" t="e">
        <f t="shared" si="32"/>
        <v>#DIV/0!</v>
      </c>
      <c r="BJ41" s="44"/>
      <c r="BK41" s="144" t="e">
        <f t="shared" si="17"/>
        <v>#DIV/0!</v>
      </c>
      <c r="BL41" s="145" t="e">
        <f>1/BE41</f>
        <v>#DIV/0!</v>
      </c>
      <c r="BM41" s="145" t="e">
        <f t="shared" ref="BM41:BO41" si="33">1/BF41</f>
        <v>#DIV/0!</v>
      </c>
      <c r="BN41" s="145" t="e">
        <f t="shared" si="33"/>
        <v>#DIV/0!</v>
      </c>
      <c r="BO41" s="145" t="e">
        <f t="shared" si="33"/>
        <v>#DIV/0!</v>
      </c>
      <c r="BP41" s="144" t="s">
        <v>8</v>
      </c>
      <c r="BQ41" s="146" t="s">
        <v>181</v>
      </c>
      <c r="BR41" s="44"/>
      <c r="BS41" s="105"/>
    </row>
    <row r="42" spans="2:73" ht="24" customHeight="1" x14ac:dyDescent="0.3">
      <c r="B42" s="583"/>
      <c r="C42" s="584"/>
      <c r="D42" s="584"/>
      <c r="E42" s="584"/>
      <c r="F42" s="584"/>
      <c r="G42" s="584"/>
      <c r="H42" s="584"/>
      <c r="I42" s="584"/>
      <c r="J42" s="646"/>
      <c r="K42" s="646"/>
      <c r="L42" s="584"/>
      <c r="M42" s="584"/>
      <c r="N42" s="584"/>
      <c r="O42" s="646"/>
      <c r="P42" s="646"/>
      <c r="Q42" s="584"/>
      <c r="R42" s="584"/>
      <c r="S42" s="584"/>
      <c r="T42" s="641"/>
      <c r="U42" s="642"/>
      <c r="V42" s="114"/>
      <c r="AA42" s="28" t="s">
        <v>141</v>
      </c>
      <c r="AB42" s="15"/>
      <c r="AC42" s="15" t="s">
        <v>139</v>
      </c>
      <c r="AD42" s="3"/>
      <c r="AE42" s="99" t="s">
        <v>624</v>
      </c>
      <c r="AF42" s="99"/>
      <c r="AG42" s="15" t="s">
        <v>575</v>
      </c>
      <c r="AH42" s="15"/>
      <c r="AI42" s="15" t="s">
        <v>469</v>
      </c>
      <c r="AJ42" s="15"/>
      <c r="AK42" s="99"/>
      <c r="AL42" s="168"/>
      <c r="AT42" s="70"/>
      <c r="AU42" s="45"/>
      <c r="AV42" s="45"/>
      <c r="AW42" s="45"/>
      <c r="AX42" s="45"/>
      <c r="AY42" s="45"/>
      <c r="AZ42" s="45"/>
      <c r="BA42" s="45"/>
      <c r="BB42" s="45"/>
      <c r="BC42" s="143" t="s">
        <v>21</v>
      </c>
      <c r="BD42" s="151" t="e">
        <f>BD41/5</f>
        <v>#DIV/0!</v>
      </c>
      <c r="BE42" s="151" t="e">
        <f t="shared" ref="BE42:BI42" si="34">BE41/5</f>
        <v>#DIV/0!</v>
      </c>
      <c r="BF42" s="151" t="e">
        <f t="shared" si="34"/>
        <v>#DIV/0!</v>
      </c>
      <c r="BG42" s="151" t="e">
        <f t="shared" si="34"/>
        <v>#DIV/0!</v>
      </c>
      <c r="BH42" s="151" t="e">
        <f t="shared" si="34"/>
        <v>#DIV/0!</v>
      </c>
      <c r="BI42" s="151" t="e">
        <f t="shared" si="34"/>
        <v>#DIV/0!</v>
      </c>
      <c r="BJ42" s="44"/>
      <c r="BK42" s="144" t="e">
        <f t="shared" si="17"/>
        <v>#DIV/0!</v>
      </c>
      <c r="BL42" s="144" t="e">
        <f t="shared" ref="BL42:BL43" si="35">1/BE42</f>
        <v>#DIV/0!</v>
      </c>
      <c r="BM42" s="144" t="e">
        <f t="shared" ref="BM42:BM43" si="36">1/BF42</f>
        <v>#DIV/0!</v>
      </c>
      <c r="BN42" s="144" t="e">
        <f t="shared" ref="BN42:BN43" si="37">1/BG42</f>
        <v>#DIV/0!</v>
      </c>
      <c r="BO42" s="144" t="e">
        <f t="shared" ref="BO42:BO43" si="38">1/BH42</f>
        <v>#DIV/0!</v>
      </c>
      <c r="BP42" s="144" t="s">
        <v>8</v>
      </c>
      <c r="BQ42" s="152" t="s">
        <v>172</v>
      </c>
      <c r="BR42" s="44"/>
      <c r="BS42" s="105"/>
      <c r="BU42" s="60" t="s">
        <v>1641</v>
      </c>
    </row>
    <row r="43" spans="2:73" ht="24" customHeight="1" x14ac:dyDescent="0.3">
      <c r="B43" s="583"/>
      <c r="C43" s="584"/>
      <c r="D43" s="584"/>
      <c r="E43" s="584"/>
      <c r="F43" s="584"/>
      <c r="G43" s="584"/>
      <c r="H43" s="584"/>
      <c r="I43" s="584"/>
      <c r="J43" s="646"/>
      <c r="K43" s="646"/>
      <c r="L43" s="584"/>
      <c r="M43" s="584"/>
      <c r="N43" s="584"/>
      <c r="O43" s="646"/>
      <c r="P43" s="646"/>
      <c r="Q43" s="584"/>
      <c r="R43" s="584"/>
      <c r="S43" s="584"/>
      <c r="T43" s="641"/>
      <c r="U43" s="642"/>
      <c r="AA43" s="28" t="s">
        <v>467</v>
      </c>
      <c r="AB43" s="15" t="s">
        <v>1331</v>
      </c>
      <c r="AC43" s="15" t="s">
        <v>592</v>
      </c>
      <c r="AD43" s="169"/>
      <c r="AE43" s="99" t="s">
        <v>641</v>
      </c>
      <c r="AF43" s="99"/>
      <c r="AG43" s="15" t="s">
        <v>140</v>
      </c>
      <c r="AH43" s="15"/>
      <c r="AI43" s="15" t="s">
        <v>161</v>
      </c>
      <c r="AJ43" s="177"/>
      <c r="AK43" s="99"/>
      <c r="AL43" s="168"/>
      <c r="AT43" s="65">
        <v>1</v>
      </c>
      <c r="AU43" s="66" t="e">
        <f>"da "&amp;ROUND(BF32,0)&amp;" a "&amp;ROUND(BF31,0)&amp;" auto/giorno a 70 kmh"</f>
        <v>#DIV/0!</v>
      </c>
      <c r="AV43" s="45"/>
      <c r="AW43" s="45"/>
      <c r="AX43" s="46">
        <v>1</v>
      </c>
      <c r="AY43" s="66" t="e">
        <f>"da "&amp;ROUND(BF54,0)&amp;" a "&amp;ROUND(BF53,0)&amp;" auto/giorno a 70 kmh"</f>
        <v>#DIV/0!</v>
      </c>
      <c r="AZ43" s="66"/>
      <c r="BA43" s="45"/>
      <c r="BB43" s="45"/>
      <c r="BC43" s="143" t="s">
        <v>15</v>
      </c>
      <c r="BD43" s="178" t="e">
        <f t="shared" ref="BD43:BI43" si="39">BD41/10</f>
        <v>#DIV/0!</v>
      </c>
      <c r="BE43" s="178" t="e">
        <f t="shared" si="39"/>
        <v>#DIV/0!</v>
      </c>
      <c r="BF43" s="178" t="e">
        <f t="shared" si="39"/>
        <v>#DIV/0!</v>
      </c>
      <c r="BG43" s="178" t="e">
        <f t="shared" si="39"/>
        <v>#DIV/0!</v>
      </c>
      <c r="BH43" s="178" t="e">
        <f t="shared" si="39"/>
        <v>#DIV/0!</v>
      </c>
      <c r="BI43" s="178" t="e">
        <f t="shared" si="39"/>
        <v>#DIV/0!</v>
      </c>
      <c r="BJ43" s="44"/>
      <c r="BK43" s="144" t="e">
        <f t="shared" si="17"/>
        <v>#DIV/0!</v>
      </c>
      <c r="BL43" s="144" t="e">
        <f t="shared" si="35"/>
        <v>#DIV/0!</v>
      </c>
      <c r="BM43" s="144" t="e">
        <f t="shared" si="36"/>
        <v>#DIV/0!</v>
      </c>
      <c r="BN43" s="144" t="e">
        <f t="shared" si="37"/>
        <v>#DIV/0!</v>
      </c>
      <c r="BO43" s="144" t="e">
        <f t="shared" si="38"/>
        <v>#DIV/0!</v>
      </c>
      <c r="BP43" s="144" t="s">
        <v>8</v>
      </c>
      <c r="BQ43" s="152" t="s">
        <v>173</v>
      </c>
      <c r="BR43" s="44"/>
      <c r="BS43" s="105"/>
    </row>
    <row r="44" spans="2:73" ht="24" customHeight="1" x14ac:dyDescent="0.3">
      <c r="B44" s="583"/>
      <c r="C44" s="584"/>
      <c r="D44" s="584"/>
      <c r="E44" s="584"/>
      <c r="F44" s="584"/>
      <c r="G44" s="584"/>
      <c r="H44" s="584"/>
      <c r="I44" s="584"/>
      <c r="J44" s="646"/>
      <c r="K44" s="646"/>
      <c r="L44" s="584"/>
      <c r="M44" s="584"/>
      <c r="N44" s="584"/>
      <c r="O44" s="646"/>
      <c r="P44" s="646"/>
      <c r="Q44" s="584"/>
      <c r="R44" s="584"/>
      <c r="S44" s="584"/>
      <c r="T44" s="641"/>
      <c r="U44" s="642"/>
      <c r="V44" s="114"/>
      <c r="AA44" s="179"/>
      <c r="AB44" s="15"/>
      <c r="AC44" s="15" t="s">
        <v>628</v>
      </c>
      <c r="AD44" s="90"/>
      <c r="AE44" s="90" t="s">
        <v>139</v>
      </c>
      <c r="AF44" s="15"/>
      <c r="AG44" s="15" t="s">
        <v>1168</v>
      </c>
      <c r="AH44" s="15"/>
      <c r="AI44" s="15" t="s">
        <v>1339</v>
      </c>
      <c r="AJ44" s="15"/>
      <c r="AK44" s="99"/>
      <c r="AL44" s="168"/>
      <c r="AT44" s="65">
        <v>2</v>
      </c>
      <c r="AU44" s="66" t="e">
        <f>"da "&amp;ROUND(BF34,0)&amp;" a "&amp;ROUND(BF32,0)&amp;" auto/giorno a 70 kmh"</f>
        <v>#DIV/0!</v>
      </c>
      <c r="AV44" s="45"/>
      <c r="AW44" s="45"/>
      <c r="AX44" s="46">
        <v>2</v>
      </c>
      <c r="AY44" s="66" t="e">
        <f>"da "&amp;ROUND(BF56,0)&amp;" a "&amp;ROUND(BF54,0)&amp;" auto/giorno a 70 kmh"</f>
        <v>#DIV/0!</v>
      </c>
      <c r="AZ44" s="66"/>
      <c r="BA44" s="45"/>
      <c r="BB44" s="45"/>
      <c r="BC44" s="45"/>
      <c r="BD44" s="45"/>
      <c r="BE44" s="45"/>
      <c r="BF44" s="45"/>
      <c r="BG44" s="45"/>
      <c r="BH44" s="45"/>
      <c r="BI44" s="45"/>
      <c r="BJ44" s="44"/>
      <c r="BK44" s="44"/>
      <c r="BL44" s="44"/>
      <c r="BM44" s="44"/>
      <c r="BN44" s="44"/>
      <c r="BO44" s="44"/>
      <c r="BP44" s="44"/>
      <c r="BQ44" s="152" t="s">
        <v>765</v>
      </c>
      <c r="BR44" s="44"/>
      <c r="BS44" s="105"/>
    </row>
    <row r="45" spans="2:73" ht="6" customHeight="1" x14ac:dyDescent="0.3">
      <c r="B45" s="180"/>
      <c r="C45" s="180"/>
      <c r="D45" s="180"/>
      <c r="E45" s="180"/>
      <c r="F45" s="180"/>
      <c r="G45" s="180"/>
      <c r="H45" s="180"/>
      <c r="I45" s="180"/>
      <c r="J45" s="181"/>
      <c r="K45" s="181"/>
      <c r="L45" s="180"/>
      <c r="M45" s="180"/>
      <c r="N45" s="180"/>
      <c r="O45" s="181"/>
      <c r="P45" s="181"/>
      <c r="Q45" s="180"/>
      <c r="R45" s="180"/>
      <c r="S45" s="180"/>
      <c r="T45" s="182"/>
      <c r="U45" s="182"/>
      <c r="V45" s="114"/>
      <c r="AA45" s="183"/>
      <c r="AB45" s="15"/>
      <c r="AC45" s="15" t="s">
        <v>1338</v>
      </c>
      <c r="AD45" s="99"/>
      <c r="AE45" s="90" t="s">
        <v>592</v>
      </c>
      <c r="AF45" s="99"/>
      <c r="AG45" s="15" t="s">
        <v>148</v>
      </c>
      <c r="AH45" s="15"/>
      <c r="AI45" s="15" t="s">
        <v>146</v>
      </c>
      <c r="AJ45" s="15"/>
      <c r="AK45" s="99"/>
      <c r="AL45" s="168"/>
      <c r="AT45" s="65">
        <v>3</v>
      </c>
      <c r="AU45" s="66" t="e">
        <f>"da "&amp;ROUND(BF36,0)&amp;" a "&amp;ROUND(BF34,0)&amp;" auto/giorno a 70 kmh"</f>
        <v>#DIV/0!</v>
      </c>
      <c r="AV45" s="45"/>
      <c r="AW45" s="45"/>
      <c r="AX45" s="46">
        <v>3</v>
      </c>
      <c r="AY45" s="66" t="e">
        <f>"da "&amp;ROUND(BF58,0)&amp;" a "&amp;ROUND(BF56,0)&amp;" auto/giorno a 70 kmh"</f>
        <v>#DIV/0!</v>
      </c>
      <c r="AZ45" s="66"/>
      <c r="BA45" s="45"/>
      <c r="BB45" s="45"/>
      <c r="BC45" s="45"/>
      <c r="BD45" s="111"/>
      <c r="BE45" s="45"/>
      <c r="BF45" s="45"/>
      <c r="BG45" s="45"/>
      <c r="BH45" s="45"/>
      <c r="BI45" s="45"/>
      <c r="BJ45" s="44"/>
      <c r="BK45" s="44"/>
      <c r="BL45" s="44"/>
      <c r="BM45" s="44"/>
      <c r="BN45" s="44"/>
      <c r="BO45" s="44"/>
      <c r="BP45" s="44"/>
      <c r="BQ45" s="152" t="s">
        <v>1017</v>
      </c>
      <c r="BR45" s="44"/>
      <c r="BS45" s="105"/>
    </row>
    <row r="46" spans="2:73" ht="15" customHeight="1" x14ac:dyDescent="0.3">
      <c r="B46" s="658" t="s">
        <v>1594</v>
      </c>
      <c r="C46" s="659"/>
      <c r="D46" s="659"/>
      <c r="E46" s="659"/>
      <c r="F46" s="659"/>
      <c r="G46" s="659"/>
      <c r="H46" s="659"/>
      <c r="I46" s="659"/>
      <c r="J46" s="659"/>
      <c r="K46" s="659"/>
      <c r="L46" s="659"/>
      <c r="M46" s="659"/>
      <c r="N46" s="659"/>
      <c r="O46" s="659"/>
      <c r="P46" s="659"/>
      <c r="Q46" s="659"/>
      <c r="R46" s="659"/>
      <c r="S46" s="659"/>
      <c r="T46" s="659"/>
      <c r="U46" s="660"/>
      <c r="V46" s="114"/>
      <c r="AA46" s="28"/>
      <c r="AB46" s="15"/>
      <c r="AC46" s="15" t="s">
        <v>1337</v>
      </c>
      <c r="AD46" s="90"/>
      <c r="AE46" s="15" t="s">
        <v>643</v>
      </c>
      <c r="AF46" s="90"/>
      <c r="AG46" s="15" t="s">
        <v>1341</v>
      </c>
      <c r="AH46" s="15"/>
      <c r="AI46" s="15" t="s">
        <v>642</v>
      </c>
      <c r="AJ46" s="15"/>
      <c r="AK46" s="99"/>
      <c r="AL46" s="168"/>
      <c r="AT46" s="65">
        <v>4</v>
      </c>
      <c r="AU46" s="66" t="e">
        <f>"da "&amp;ROUND(BF38,0)&amp;" a "&amp;ROUND(BF36,0)&amp;" auto/giorno a 70 kmh"</f>
        <v>#DIV/0!</v>
      </c>
      <c r="AV46" s="45"/>
      <c r="AW46" s="45"/>
      <c r="AX46" s="46">
        <v>4</v>
      </c>
      <c r="AY46" s="66" t="e">
        <f>"da "&amp;ROUND(BF60,0)&amp;" a "&amp;ROUND(BF58,0)&amp;" auto/giorno a 70 kmh"</f>
        <v>#DIV/0!</v>
      </c>
      <c r="AZ46" s="66"/>
      <c r="BA46" s="45"/>
      <c r="BB46" s="45"/>
      <c r="BC46" s="45"/>
      <c r="BD46" s="45"/>
      <c r="BE46" s="45"/>
      <c r="BF46" s="45"/>
      <c r="BG46" s="45"/>
      <c r="BH46" s="45"/>
      <c r="BI46" s="45"/>
      <c r="BJ46" s="44"/>
      <c r="BK46" s="44"/>
      <c r="BL46" s="44"/>
      <c r="BM46" s="44"/>
      <c r="BN46" s="44"/>
      <c r="BO46" s="44"/>
      <c r="BP46" s="44"/>
      <c r="BQ46" s="152" t="s">
        <v>1018</v>
      </c>
      <c r="BR46" s="44"/>
      <c r="BS46" s="105"/>
      <c r="BU46" s="60" t="s">
        <v>1642</v>
      </c>
    </row>
    <row r="47" spans="2:73" ht="15" customHeight="1" thickBot="1" x14ac:dyDescent="0.35">
      <c r="B47" s="184" t="s">
        <v>2</v>
      </c>
      <c r="C47" s="1">
        <f>C9</f>
        <v>0</v>
      </c>
      <c r="D47" s="185"/>
      <c r="E47" s="185"/>
      <c r="F47" s="186"/>
      <c r="G47" s="187" t="s">
        <v>475</v>
      </c>
      <c r="H47" s="2">
        <f>H9</f>
        <v>0</v>
      </c>
      <c r="I47" s="185" t="s">
        <v>1596</v>
      </c>
      <c r="J47" s="639">
        <f>J9</f>
        <v>0</v>
      </c>
      <c r="K47" s="639"/>
      <c r="L47" s="185" t="s">
        <v>1184</v>
      </c>
      <c r="M47" s="1">
        <f>M9</f>
        <v>0</v>
      </c>
      <c r="N47" s="185" t="s">
        <v>735</v>
      </c>
      <c r="O47" s="639">
        <f>O9</f>
        <v>0</v>
      </c>
      <c r="P47" s="639"/>
      <c r="Q47" s="185" t="s">
        <v>531</v>
      </c>
      <c r="R47" s="1">
        <f>R9</f>
        <v>0</v>
      </c>
      <c r="S47" s="188" t="s">
        <v>562</v>
      </c>
      <c r="T47" s="639">
        <f>T9</f>
        <v>0</v>
      </c>
      <c r="U47" s="640"/>
      <c r="V47" s="114"/>
      <c r="AA47" s="31"/>
      <c r="AB47" s="15"/>
      <c r="AC47" s="15" t="s">
        <v>160</v>
      </c>
      <c r="AD47" s="90"/>
      <c r="AE47" s="15" t="s">
        <v>596</v>
      </c>
      <c r="AF47" s="169"/>
      <c r="AG47" s="91" t="s">
        <v>159</v>
      </c>
      <c r="AH47" s="15"/>
      <c r="AI47" s="15" t="s">
        <v>627</v>
      </c>
      <c r="AJ47" s="100"/>
      <c r="AK47" s="99"/>
      <c r="AL47" s="168"/>
      <c r="AT47" s="65">
        <v>5</v>
      </c>
      <c r="AU47" s="66" t="e">
        <f>"da "&amp;ROUND(BF40,1)&amp;" a "&amp;ROUND(BF38,0)&amp;" auto/giorno a 70 kmh"</f>
        <v>#DIV/0!</v>
      </c>
      <c r="AV47" s="45"/>
      <c r="AW47" s="45"/>
      <c r="AX47" s="46">
        <v>5</v>
      </c>
      <c r="AY47" s="66" t="e">
        <f>"da "&amp;ROUND(BF62,1)&amp;" a "&amp;ROUND(BF60,0)&amp;" auto/giorno a 70 kmh"</f>
        <v>#DIV/0!</v>
      </c>
      <c r="AZ47" s="66"/>
      <c r="BA47" s="45"/>
      <c r="BB47" s="45"/>
      <c r="BC47" s="57" t="s">
        <v>184</v>
      </c>
      <c r="BD47" s="46">
        <v>30</v>
      </c>
      <c r="BE47" s="46">
        <v>50</v>
      </c>
      <c r="BF47" s="46">
        <v>70</v>
      </c>
      <c r="BG47" s="46">
        <v>90</v>
      </c>
      <c r="BH47" s="46">
        <v>110</v>
      </c>
      <c r="BI47" s="46">
        <f>BI25</f>
        <v>60</v>
      </c>
      <c r="BJ47" s="44"/>
      <c r="BK47" s="44"/>
      <c r="BL47" s="44"/>
      <c r="BM47" s="44"/>
      <c r="BN47" s="44"/>
      <c r="BO47" s="44"/>
      <c r="BP47" s="44"/>
      <c r="BQ47" s="152" t="s">
        <v>1019</v>
      </c>
      <c r="BR47" s="44"/>
      <c r="BS47" s="105"/>
      <c r="BU47" s="60" t="s">
        <v>1643</v>
      </c>
    </row>
    <row r="48" spans="2:73" ht="6" customHeight="1" thickBot="1" x14ac:dyDescent="0.35">
      <c r="B48" s="189"/>
      <c r="C48" s="190"/>
      <c r="D48" s="189"/>
      <c r="E48" s="189"/>
      <c r="F48" s="191"/>
      <c r="G48" s="97"/>
      <c r="H48" s="190"/>
      <c r="I48" s="189"/>
      <c r="J48" s="190"/>
      <c r="K48" s="190"/>
      <c r="L48" s="189"/>
      <c r="M48" s="190"/>
      <c r="N48" s="189"/>
      <c r="O48" s="190"/>
      <c r="P48" s="190"/>
      <c r="Q48" s="189"/>
      <c r="R48" s="190"/>
      <c r="S48" s="192"/>
      <c r="T48" s="190"/>
      <c r="U48" s="190"/>
      <c r="V48" s="114"/>
      <c r="AA48" s="179"/>
      <c r="AB48" s="15"/>
      <c r="AC48" s="15" t="s">
        <v>143</v>
      </c>
      <c r="AD48" s="90"/>
      <c r="AE48" s="15" t="s">
        <v>1338</v>
      </c>
      <c r="AF48" s="15"/>
      <c r="AG48" s="15" t="s">
        <v>167</v>
      </c>
      <c r="AH48" s="15"/>
      <c r="AI48" s="15" t="s">
        <v>624</v>
      </c>
      <c r="AJ48" s="100"/>
      <c r="AK48" s="99"/>
      <c r="AL48" s="168"/>
      <c r="AT48" s="65">
        <v>6</v>
      </c>
      <c r="AU48" s="66" t="e">
        <f>"da "&amp;ROUND(BF42,2)&amp;" a "&amp;ROUND(BF40,0)&amp;" auto/giorno a 70 kmh"</f>
        <v>#DIV/0!</v>
      </c>
      <c r="AV48" s="45"/>
      <c r="AW48" s="45"/>
      <c r="AX48" s="46">
        <v>6</v>
      </c>
      <c r="AY48" s="66" t="e">
        <f>"da "&amp;ROUND(BF64,2)&amp;" a "&amp;ROUND(BF62,0)&amp;" auto/giorno a 70 kmh"</f>
        <v>#DIV/0!</v>
      </c>
      <c r="AZ48" s="66"/>
      <c r="BA48" s="45"/>
      <c r="BB48" s="45"/>
      <c r="BC48" s="57" t="s">
        <v>185</v>
      </c>
      <c r="BD48" s="193">
        <f t="shared" ref="BD48:BI48" si="40">BD47*1000/3600</f>
        <v>8.3333333333333339</v>
      </c>
      <c r="BE48" s="193">
        <f t="shared" si="40"/>
        <v>13.888888888888889</v>
      </c>
      <c r="BF48" s="193">
        <f t="shared" si="40"/>
        <v>19.444444444444443</v>
      </c>
      <c r="BG48" s="193">
        <f t="shared" si="40"/>
        <v>25</v>
      </c>
      <c r="BH48" s="193">
        <f t="shared" si="40"/>
        <v>30.555555555555557</v>
      </c>
      <c r="BI48" s="193">
        <f t="shared" si="40"/>
        <v>16.666666666666668</v>
      </c>
      <c r="BJ48" s="44"/>
      <c r="BK48" s="44"/>
      <c r="BL48" s="44"/>
      <c r="BM48" s="44"/>
      <c r="BN48" s="44"/>
      <c r="BO48" s="44"/>
      <c r="BP48" s="44"/>
      <c r="BQ48" s="172" t="s">
        <v>1020</v>
      </c>
      <c r="BR48" s="44"/>
      <c r="BS48" s="105"/>
    </row>
    <row r="49" spans="2:73" ht="15" customHeight="1" thickBot="1" x14ac:dyDescent="0.35">
      <c r="B49" s="706" t="s">
        <v>1635</v>
      </c>
      <c r="C49" s="707"/>
      <c r="D49" s="707"/>
      <c r="E49" s="707"/>
      <c r="F49" s="707"/>
      <c r="G49" s="707"/>
      <c r="H49" s="707"/>
      <c r="I49" s="707"/>
      <c r="J49" s="707"/>
      <c r="K49" s="707"/>
      <c r="L49" s="707"/>
      <c r="M49" s="707"/>
      <c r="N49" s="707"/>
      <c r="O49" s="707"/>
      <c r="P49" s="707"/>
      <c r="Q49" s="707"/>
      <c r="R49" s="707"/>
      <c r="S49" s="707"/>
      <c r="T49" s="707"/>
      <c r="U49" s="708"/>
      <c r="V49" s="114"/>
      <c r="AA49" s="179"/>
      <c r="AB49" s="15"/>
      <c r="AC49" s="15" t="s">
        <v>575</v>
      </c>
      <c r="AD49" s="90"/>
      <c r="AE49" s="194" t="s">
        <v>1336</v>
      </c>
      <c r="AF49" s="15"/>
      <c r="AG49" s="15" t="s">
        <v>622</v>
      </c>
      <c r="AH49" s="15"/>
      <c r="AI49" s="15" t="s">
        <v>641</v>
      </c>
      <c r="AJ49" s="15"/>
      <c r="AK49" s="99"/>
      <c r="AL49" s="168"/>
      <c r="AT49" s="65">
        <v>7</v>
      </c>
      <c r="AU49" s="66" t="e">
        <f>"da "&amp;ROUND(BF43,2)&amp;" a "&amp;ROUND(BF42,2)&amp;" auto/giorno a 70 kmh"</f>
        <v>#DIV/0!</v>
      </c>
      <c r="AV49" s="45"/>
      <c r="AW49" s="45"/>
      <c r="AX49" s="46">
        <v>7</v>
      </c>
      <c r="AY49" s="66" t="e">
        <f>"da "&amp;ROUND(BF65,2)&amp;" a "&amp;ROUND(BF64,2)&amp;" auto/giorno a 70 kmh"</f>
        <v>#DIV/0!</v>
      </c>
      <c r="AZ49" s="66"/>
      <c r="BA49" s="45"/>
      <c r="BB49" s="125"/>
      <c r="BC49" s="126" t="s">
        <v>183</v>
      </c>
      <c r="BD49" s="193">
        <f t="shared" ref="BD49:BI49" si="41">BD48^2/(2*9.8*0.5)</f>
        <v>7.0861678004535156</v>
      </c>
      <c r="BE49" s="193">
        <f t="shared" si="41"/>
        <v>19.683799445704206</v>
      </c>
      <c r="BF49" s="193">
        <f t="shared" si="41"/>
        <v>38.58024691358024</v>
      </c>
      <c r="BG49" s="193">
        <f t="shared" si="41"/>
        <v>63.775510204081627</v>
      </c>
      <c r="BH49" s="193">
        <f t="shared" si="41"/>
        <v>95.269589317208357</v>
      </c>
      <c r="BI49" s="193">
        <f t="shared" si="41"/>
        <v>28.344671201814062</v>
      </c>
      <c r="BJ49" s="44"/>
      <c r="BK49" s="44"/>
      <c r="BL49" s="44"/>
      <c r="BM49" s="44"/>
      <c r="BN49" s="44"/>
      <c r="BO49" s="44"/>
      <c r="BP49" s="44"/>
      <c r="BQ49" s="44"/>
      <c r="BR49" s="44"/>
      <c r="BS49" s="105"/>
    </row>
    <row r="50" spans="2:73" ht="15" customHeight="1" thickBot="1" x14ac:dyDescent="0.35">
      <c r="B50" s="140"/>
      <c r="C50" s="551" t="s">
        <v>1241</v>
      </c>
      <c r="D50" s="551"/>
      <c r="E50" s="551"/>
      <c r="F50" s="551"/>
      <c r="G50" s="141" t="s">
        <v>1183</v>
      </c>
      <c r="H50" s="709" t="s">
        <v>1599</v>
      </c>
      <c r="I50" s="710"/>
      <c r="J50" s="552" t="s">
        <v>1240</v>
      </c>
      <c r="K50" s="553"/>
      <c r="L50" s="554"/>
      <c r="M50" s="142"/>
      <c r="N50" s="551" t="s">
        <v>1595</v>
      </c>
      <c r="O50" s="551"/>
      <c r="P50" s="551"/>
      <c r="Q50" s="551"/>
      <c r="R50" s="141" t="s">
        <v>1183</v>
      </c>
      <c r="S50" s="552" t="s">
        <v>1240</v>
      </c>
      <c r="T50" s="553"/>
      <c r="U50" s="555"/>
      <c r="V50" s="114"/>
      <c r="Y50" s="29" t="s">
        <v>1169</v>
      </c>
      <c r="Z50" s="159" t="s">
        <v>1170</v>
      </c>
      <c r="AA50" s="179"/>
      <c r="AB50" s="15"/>
      <c r="AC50" s="15" t="s">
        <v>152</v>
      </c>
      <c r="AD50" s="90"/>
      <c r="AE50" s="15" t="s">
        <v>1337</v>
      </c>
      <c r="AF50" s="100"/>
      <c r="AG50" s="15" t="s">
        <v>623</v>
      </c>
      <c r="AH50" s="15"/>
      <c r="AI50" s="15" t="s">
        <v>139</v>
      </c>
      <c r="AJ50" s="15"/>
      <c r="AK50" s="99"/>
      <c r="AL50" s="168"/>
      <c r="AT50" s="65"/>
      <c r="AU50" s="66"/>
      <c r="AV50" s="45"/>
      <c r="AW50" s="45"/>
      <c r="AX50" s="46"/>
      <c r="AY50" s="66"/>
      <c r="AZ50" s="66"/>
      <c r="BA50" s="45"/>
      <c r="BB50" s="129"/>
      <c r="BC50" s="130" t="s">
        <v>1694</v>
      </c>
      <c r="BD50" s="122">
        <f t="shared" ref="BD50:BI50" si="42">BD49/BD48</f>
        <v>0.85034013605442182</v>
      </c>
      <c r="BE50" s="122">
        <f t="shared" si="42"/>
        <v>1.4172335600907029</v>
      </c>
      <c r="BF50" s="122">
        <f t="shared" si="42"/>
        <v>1.984126984126984</v>
      </c>
      <c r="BG50" s="122">
        <f t="shared" si="42"/>
        <v>2.5510204081632653</v>
      </c>
      <c r="BH50" s="122">
        <f t="shared" si="42"/>
        <v>3.1179138321995459</v>
      </c>
      <c r="BI50" s="122">
        <f t="shared" si="42"/>
        <v>1.7006802721088436</v>
      </c>
      <c r="BJ50" s="44"/>
      <c r="BK50" s="44"/>
      <c r="BL50" s="44"/>
      <c r="BM50" s="44"/>
      <c r="BN50" s="44"/>
      <c r="BO50" s="44"/>
      <c r="BP50" s="44"/>
      <c r="BQ50" s="44"/>
      <c r="BR50" s="44"/>
      <c r="BS50" s="105"/>
    </row>
    <row r="51" spans="2:73" ht="15" customHeight="1" thickBot="1" x14ac:dyDescent="0.35">
      <c r="B51" s="147"/>
      <c r="C51" s="694"/>
      <c r="D51" s="694"/>
      <c r="E51" s="694"/>
      <c r="F51" s="694"/>
      <c r="G51" s="557" t="e">
        <f>VLOOKUP(B52,BQ80:BR86,2,FALSE)</f>
        <v>#N/A</v>
      </c>
      <c r="H51" s="698">
        <f>ORD!$H$32</f>
        <v>1</v>
      </c>
      <c r="I51" s="696" t="s">
        <v>1598</v>
      </c>
      <c r="J51" s="559" t="s">
        <v>466</v>
      </c>
      <c r="K51" s="560"/>
      <c r="L51" s="149" t="s">
        <v>1183</v>
      </c>
      <c r="M51" s="150"/>
      <c r="N51" s="694"/>
      <c r="O51" s="694"/>
      <c r="P51" s="694"/>
      <c r="Q51" s="694"/>
      <c r="R51" s="557" t="e">
        <f>VLOOKUP(M52,BQ93:BR99,2,FALSE)</f>
        <v>#N/A</v>
      </c>
      <c r="S51" s="148" t="s">
        <v>466</v>
      </c>
      <c r="T51" s="560" t="s">
        <v>1183</v>
      </c>
      <c r="U51" s="561"/>
      <c r="V51" s="114"/>
      <c r="X51" s="161" t="e">
        <f>$R$51&amp;$T$52&amp;$E54</f>
        <v>#N/A</v>
      </c>
      <c r="Y51" s="92" t="str">
        <f>IF(E54=0,"x",VLOOKUP(X51,A!$AM$4:$AN$346,2,FALSE))</f>
        <v>x</v>
      </c>
      <c r="Z51" s="195" t="e">
        <f>VLOOKUP(VLOOKUP(Y51,A!$AP$4:$AR$21,3,FALSE)*$H$51,A!$AR$23:$AS$73,2,TRUE)</f>
        <v>#N/A</v>
      </c>
      <c r="AA51" s="179"/>
      <c r="AB51" s="15"/>
      <c r="AC51" s="15" t="s">
        <v>1341</v>
      </c>
      <c r="AD51" s="90"/>
      <c r="AE51" s="99" t="s">
        <v>160</v>
      </c>
      <c r="AF51" s="99"/>
      <c r="AG51" s="15" t="s">
        <v>599</v>
      </c>
      <c r="AH51" s="15"/>
      <c r="AI51" s="91" t="s">
        <v>1342</v>
      </c>
      <c r="AJ51" s="15"/>
      <c r="AK51" s="99"/>
      <c r="AL51" s="168"/>
      <c r="AT51" s="65">
        <v>1</v>
      </c>
      <c r="AU51" s="66" t="e">
        <f>"da "&amp;ROUND(BE32,0)&amp;" a "&amp;ROUND(BE31,0)&amp;" auto/giorno a 50 kmh"</f>
        <v>#DIV/0!</v>
      </c>
      <c r="AV51" s="45"/>
      <c r="AW51" s="45"/>
      <c r="AX51" s="46">
        <v>1</v>
      </c>
      <c r="AY51" s="66" t="e">
        <f>"da "&amp;ROUND(BE54,0)&amp;" a "&amp;ROUND(BE53,0)&amp;" auto/giorno a 50 kmh"</f>
        <v>#DIV/0!</v>
      </c>
      <c r="AZ51" s="66"/>
      <c r="BA51" s="45"/>
      <c r="BB51" s="45"/>
      <c r="BC51" s="57" t="s">
        <v>175</v>
      </c>
      <c r="BD51" s="46">
        <f>$O$9*1.25</f>
        <v>0</v>
      </c>
      <c r="BE51" s="46">
        <f t="shared" ref="BE51:BI51" si="43">$O$9*1.25</f>
        <v>0</v>
      </c>
      <c r="BF51" s="46">
        <f t="shared" si="43"/>
        <v>0</v>
      </c>
      <c r="BG51" s="46">
        <f t="shared" si="43"/>
        <v>0</v>
      </c>
      <c r="BH51" s="46">
        <f t="shared" si="43"/>
        <v>0</v>
      </c>
      <c r="BI51" s="46">
        <f t="shared" si="43"/>
        <v>0</v>
      </c>
      <c r="BJ51" s="44"/>
      <c r="BK51" s="44"/>
      <c r="BL51" s="44"/>
      <c r="BM51" s="44"/>
      <c r="BN51" s="44"/>
      <c r="BO51" s="44"/>
      <c r="BP51" s="44"/>
      <c r="BQ51" s="44"/>
      <c r="BR51" s="44"/>
      <c r="BS51" s="105"/>
    </row>
    <row r="52" spans="2:73" ht="15" customHeight="1" thickBot="1" x14ac:dyDescent="0.35">
      <c r="B52" s="722"/>
      <c r="C52" s="723"/>
      <c r="D52" s="723"/>
      <c r="E52" s="723"/>
      <c r="F52" s="723"/>
      <c r="G52" s="558"/>
      <c r="H52" s="699"/>
      <c r="I52" s="697"/>
      <c r="J52" s="563" t="str">
        <f>IF(OR($T$47=0,$J$47=0),"err",((PI()/4*(($H$47/100)/PI())^2*$C$47*0.75*900)*(SQRT(3*9.8*($C$47-$T$47)))))</f>
        <v>err</v>
      </c>
      <c r="K52" s="564"/>
      <c r="L52" s="153" t="str">
        <f>IF(J52="err","",IF(J52&lt;5,7,IF(J52&lt;10,6,IF(J52&lt;50,5,IF(J52&lt;100,4,IF(J52&lt;1000,3,IF(J52&lt;10000,2,1)))))))</f>
        <v/>
      </c>
      <c r="M52" s="726"/>
      <c r="N52" s="727"/>
      <c r="O52" s="727"/>
      <c r="P52" s="727"/>
      <c r="Q52" s="727"/>
      <c r="R52" s="558"/>
      <c r="S52" s="154" t="str">
        <f>IF(OR($E$26="",$M$47="",$O$47="",$R$47=""),"err",((PI()/4*($M$47/100)^2*$O$47*0.75*900)*(SQRT(2*9.8*($R$47-$T$47)))))</f>
        <v>err</v>
      </c>
      <c r="T52" s="558" t="str">
        <f>IF(S52="err","",IF(S52="N.S.","-",IF(S52&lt;5,7,IF(S52&lt;10,6,IF(S52&lt;50,5,IF(S52&lt;100,4,IF(S52&lt;1000,3,IF(S52&lt;10000,2,1))))))))</f>
        <v/>
      </c>
      <c r="U52" s="566"/>
      <c r="V52" s="114"/>
      <c r="X52" s="165" t="e">
        <f>$G$51&amp;$L$52&amp;$E55</f>
        <v>#N/A</v>
      </c>
      <c r="Y52" s="166" t="str">
        <f>IF(E55=0,"x",VLOOKUP(X52,A!$AM$4:$AN$346,2,FALSE))</f>
        <v>x</v>
      </c>
      <c r="Z52" s="196" t="e">
        <f>VLOOKUP(VLOOKUP(Y52,A!$AP$4:$AR$21,3,FALSE)*$H$51,A!$AR$23:$AS$73,2,TRUE)</f>
        <v>#N/A</v>
      </c>
      <c r="AA52" s="179"/>
      <c r="AB52" s="15"/>
      <c r="AC52" s="15" t="s">
        <v>159</v>
      </c>
      <c r="AD52" s="90"/>
      <c r="AE52" s="109" t="s">
        <v>1305</v>
      </c>
      <c r="AF52" s="90"/>
      <c r="AG52" s="15" t="s">
        <v>600</v>
      </c>
      <c r="AH52" s="15"/>
      <c r="AI52" s="15" t="s">
        <v>1336</v>
      </c>
      <c r="AJ52" s="15"/>
      <c r="AK52" s="99"/>
      <c r="AL52" s="168"/>
      <c r="AT52" s="65">
        <v>2</v>
      </c>
      <c r="AU52" s="66" t="e">
        <f>"da "&amp;ROUND(BE34,0)&amp;" a "&amp;ROUND(BE32,0)&amp;" auto/giorno a 50 kmh"</f>
        <v>#DIV/0!</v>
      </c>
      <c r="AV52" s="45"/>
      <c r="AW52" s="45"/>
      <c r="AX52" s="46">
        <v>2</v>
      </c>
      <c r="AY52" s="66" t="e">
        <f>"da "&amp;ROUND(BE56,0)&amp;" a "&amp;ROUND(BE54,0)&amp;" auto/giorno a 50 kmh"</f>
        <v>#DIV/0!</v>
      </c>
      <c r="AZ52" s="66"/>
      <c r="BA52" s="45"/>
      <c r="BB52" s="45"/>
      <c r="BC52" s="57" t="s">
        <v>1693</v>
      </c>
      <c r="BD52" s="122">
        <f t="shared" ref="BD52:BI52" si="44">BD51/BD48</f>
        <v>0</v>
      </c>
      <c r="BE52" s="122">
        <f t="shared" si="44"/>
        <v>0</v>
      </c>
      <c r="BF52" s="122">
        <f t="shared" si="44"/>
        <v>0</v>
      </c>
      <c r="BG52" s="122">
        <f t="shared" si="44"/>
        <v>0</v>
      </c>
      <c r="BH52" s="122">
        <f t="shared" si="44"/>
        <v>0</v>
      </c>
      <c r="BI52" s="122">
        <f t="shared" si="44"/>
        <v>0</v>
      </c>
      <c r="BJ52" s="44"/>
      <c r="BK52" s="44"/>
      <c r="BL52" s="44"/>
      <c r="BM52" s="44"/>
      <c r="BN52" s="44"/>
      <c r="BO52" s="44"/>
      <c r="BP52" s="44"/>
      <c r="BQ52" s="44"/>
      <c r="BR52" s="44"/>
      <c r="BS52" s="105"/>
      <c r="BU52" s="60" t="s">
        <v>1644</v>
      </c>
    </row>
    <row r="53" spans="2:73" ht="15" customHeight="1" thickBot="1" x14ac:dyDescent="0.35">
      <c r="B53" s="156"/>
      <c r="C53" s="157"/>
      <c r="D53" s="157"/>
      <c r="E53" s="701" t="s">
        <v>1588</v>
      </c>
      <c r="F53" s="701"/>
      <c r="G53" s="701"/>
      <c r="H53" s="197" t="str">
        <f>IF(H51=1,"","("&amp;H51&amp;"x)")</f>
        <v/>
      </c>
      <c r="I53" s="704" t="s">
        <v>1613</v>
      </c>
      <c r="J53" s="704"/>
      <c r="K53" s="704"/>
      <c r="L53" s="704"/>
      <c r="M53" s="704"/>
      <c r="N53" s="704"/>
      <c r="O53" s="704"/>
      <c r="P53" s="704"/>
      <c r="Q53" s="704"/>
      <c r="R53" s="704"/>
      <c r="S53" s="704"/>
      <c r="T53" s="704"/>
      <c r="U53" s="705"/>
      <c r="V53" s="114"/>
      <c r="X53" s="165" t="e">
        <f>$G$51&amp;$L$52&amp;$E56</f>
        <v>#N/A</v>
      </c>
      <c r="Y53" s="166" t="str">
        <f>IF(E56=0,"x",VLOOKUP(X53,A!$AM$4:$AN$346,2,FALSE))</f>
        <v>x</v>
      </c>
      <c r="Z53" s="196" t="e">
        <f>VLOOKUP(VLOOKUP(Y53,A!$AP$4:$AR$21,3,FALSE)*$H$51,A!$AR$23:$AS$73,2,TRUE)</f>
        <v>#N/A</v>
      </c>
      <c r="AA53" s="179"/>
      <c r="AB53" s="15"/>
      <c r="AC53" s="15" t="s">
        <v>167</v>
      </c>
      <c r="AD53" s="90"/>
      <c r="AE53" s="90" t="s">
        <v>143</v>
      </c>
      <c r="AF53" s="90"/>
      <c r="AG53" s="15" t="s">
        <v>142</v>
      </c>
      <c r="AH53" s="100"/>
      <c r="AI53" s="91" t="s">
        <v>1337</v>
      </c>
      <c r="AJ53" s="15"/>
      <c r="AK53" s="99"/>
      <c r="AL53" s="168"/>
      <c r="AT53" s="65">
        <v>3</v>
      </c>
      <c r="AU53" s="66" t="e">
        <f>"da "&amp;ROUND(BE36,0)&amp;" a "&amp;ROUND(BE34,0)&amp;" auto/giorno a 50 kmh"</f>
        <v>#DIV/0!</v>
      </c>
      <c r="AV53" s="45"/>
      <c r="AW53" s="45"/>
      <c r="AX53" s="46">
        <v>3</v>
      </c>
      <c r="AY53" s="66" t="e">
        <f>"da "&amp;ROUND(BE58,0)&amp;" a "&amp;ROUND(BE56,0)&amp;" auto/giorno a 50 kmh"</f>
        <v>#DIV/0!</v>
      </c>
      <c r="AZ53" s="66"/>
      <c r="BA53" s="45"/>
      <c r="BB53" s="45"/>
      <c r="BC53" s="72" t="s">
        <v>9</v>
      </c>
      <c r="BD53" s="144" t="e">
        <f>MIN(86400/BD50,86400/BD52)/$BD$24</f>
        <v>#DIV/0!</v>
      </c>
      <c r="BE53" s="144" t="e">
        <f t="shared" ref="BE53:BI53" si="45">MIN(86400/BE50,86400/BE52)/$BD$24</f>
        <v>#DIV/0!</v>
      </c>
      <c r="BF53" s="144" t="e">
        <f t="shared" si="45"/>
        <v>#DIV/0!</v>
      </c>
      <c r="BG53" s="144" t="e">
        <f t="shared" si="45"/>
        <v>#DIV/0!</v>
      </c>
      <c r="BH53" s="144" t="e">
        <f t="shared" si="45"/>
        <v>#DIV/0!</v>
      </c>
      <c r="BI53" s="144" t="e">
        <f t="shared" si="45"/>
        <v>#DIV/0!</v>
      </c>
      <c r="BJ53" s="44"/>
      <c r="BK53" s="44"/>
      <c r="BL53" s="44"/>
      <c r="BM53" s="44"/>
      <c r="BN53" s="44"/>
      <c r="BO53" s="44"/>
      <c r="BP53" s="44"/>
      <c r="BQ53" s="44"/>
      <c r="BR53" s="44"/>
      <c r="BS53" s="105"/>
    </row>
    <row r="54" spans="2:73" ht="15" customHeight="1" thickBot="1" x14ac:dyDescent="0.35">
      <c r="B54" s="685" t="s">
        <v>1585</v>
      </c>
      <c r="C54" s="686"/>
      <c r="D54" s="686"/>
      <c r="E54" s="702"/>
      <c r="F54" s="542"/>
      <c r="G54" s="703"/>
      <c r="H54" s="160" t="str">
        <f>IF(E54="","",IF(E54=0,"x",IF($H$51=1,$Y51,IF($H$51&gt;1,$Z51))))</f>
        <v/>
      </c>
      <c r="I54" s="715" t="str">
        <f>IF(H54="","",IF(H54="x","Approfondimento necessario",VLOOKUP(H54,A!$AP$4:$AQ$21,2,FALSE)))</f>
        <v/>
      </c>
      <c r="J54" s="716"/>
      <c r="K54" s="716"/>
      <c r="L54" s="716"/>
      <c r="M54" s="716"/>
      <c r="N54" s="716"/>
      <c r="O54" s="716"/>
      <c r="P54" s="716"/>
      <c r="Q54" s="716"/>
      <c r="R54" s="716"/>
      <c r="S54" s="716"/>
      <c r="T54" s="716"/>
      <c r="U54" s="717"/>
      <c r="V54" s="114"/>
      <c r="X54" s="161" t="e">
        <f>$G$51&amp;$L$52&amp;LEFT($E57,1)</f>
        <v>#N/A</v>
      </c>
      <c r="Y54" s="92" t="str">
        <f>IF(E57=0,"x",VLOOKUP(X54,A!$AM$4:$AN$346,2,FALSE))</f>
        <v>x</v>
      </c>
      <c r="Z54" s="195" t="e">
        <f>VLOOKUP(VLOOKUP(Y54,A!$AP$4:$AR$21,3,FALSE)*$H$51,A!$AR$23:$AS$73,2,TRUE)</f>
        <v>#N/A</v>
      </c>
      <c r="AA54" s="179"/>
      <c r="AB54" s="15"/>
      <c r="AC54" s="15" t="s">
        <v>142</v>
      </c>
      <c r="AD54" s="90"/>
      <c r="AE54" s="90" t="s">
        <v>575</v>
      </c>
      <c r="AF54" s="15"/>
      <c r="AG54" s="15" t="s">
        <v>1343</v>
      </c>
      <c r="AH54" s="15"/>
      <c r="AI54" s="15" t="s">
        <v>160</v>
      </c>
      <c r="AJ54" s="15"/>
      <c r="AK54" s="99"/>
      <c r="AL54" s="168"/>
      <c r="AT54" s="65">
        <v>4</v>
      </c>
      <c r="AU54" s="66" t="e">
        <f>"da "&amp;ROUND(BE38,0)&amp;" a "&amp;ROUND(BE36,0)&amp;" auto/giorno a 50 kmh"</f>
        <v>#DIV/0!</v>
      </c>
      <c r="AV54" s="45"/>
      <c r="AW54" s="45"/>
      <c r="AX54" s="46">
        <v>4</v>
      </c>
      <c r="AY54" s="66" t="e">
        <f>"da "&amp;ROUND(BE60,0)&amp;" a "&amp;ROUND(BE58,0)&amp;" auto/giorno a 50 kmh"</f>
        <v>#DIV/0!</v>
      </c>
      <c r="AZ54" s="66"/>
      <c r="BA54" s="45"/>
      <c r="BB54" s="45"/>
      <c r="BC54" s="72" t="s">
        <v>16</v>
      </c>
      <c r="BD54" s="151" t="e">
        <f t="shared" ref="BD54:BI54" si="46">BD53/5</f>
        <v>#DIV/0!</v>
      </c>
      <c r="BE54" s="151" t="e">
        <f t="shared" si="46"/>
        <v>#DIV/0!</v>
      </c>
      <c r="BF54" s="151" t="e">
        <f t="shared" si="46"/>
        <v>#DIV/0!</v>
      </c>
      <c r="BG54" s="151" t="e">
        <f t="shared" si="46"/>
        <v>#DIV/0!</v>
      </c>
      <c r="BH54" s="151" t="e">
        <f t="shared" si="46"/>
        <v>#DIV/0!</v>
      </c>
      <c r="BI54" s="151" t="e">
        <f t="shared" si="46"/>
        <v>#DIV/0!</v>
      </c>
      <c r="BJ54" s="44"/>
      <c r="BK54" s="44"/>
      <c r="BL54" s="44"/>
      <c r="BM54" s="44"/>
      <c r="BN54" s="44"/>
      <c r="BO54" s="44"/>
      <c r="BP54" s="44"/>
      <c r="BQ54" s="44"/>
      <c r="BR54" s="44"/>
      <c r="BS54" s="105"/>
    </row>
    <row r="55" spans="2:73" ht="15" customHeight="1" x14ac:dyDescent="0.3">
      <c r="B55" s="575" t="s">
        <v>1586</v>
      </c>
      <c r="C55" s="576"/>
      <c r="D55" s="576"/>
      <c r="E55" s="711"/>
      <c r="F55" s="540"/>
      <c r="G55" s="712"/>
      <c r="H55" s="164" t="str">
        <f>IF(E55="","",IF(E55=0,"x",IF($H$51=1,$Y52,IF($H$51&gt;1,$Z52))))</f>
        <v/>
      </c>
      <c r="I55" s="718" t="str">
        <f>IF(H55="","",IF(H55="x","Approfondimento necessario",VLOOKUP(H55,A!$AP$4:$AQ$21,2,FALSE)))</f>
        <v/>
      </c>
      <c r="J55" s="718"/>
      <c r="K55" s="718"/>
      <c r="L55" s="718"/>
      <c r="M55" s="718"/>
      <c r="N55" s="718"/>
      <c r="O55" s="718"/>
      <c r="P55" s="718"/>
      <c r="Q55" s="718"/>
      <c r="R55" s="718"/>
      <c r="S55" s="718"/>
      <c r="T55" s="718"/>
      <c r="U55" s="719"/>
      <c r="V55" s="114"/>
      <c r="X55" s="198"/>
      <c r="Y55" s="102"/>
      <c r="Z55" s="199"/>
      <c r="AA55" s="179"/>
      <c r="AB55" s="15"/>
      <c r="AC55" s="15" t="s">
        <v>126</v>
      </c>
      <c r="AD55" s="99"/>
      <c r="AE55" s="15" t="s">
        <v>140</v>
      </c>
      <c r="AF55" s="15"/>
      <c r="AG55" s="15" t="s">
        <v>136</v>
      </c>
      <c r="AH55" s="15"/>
      <c r="AI55" s="15" t="s">
        <v>575</v>
      </c>
      <c r="AJ55" s="15"/>
      <c r="AK55" s="99"/>
      <c r="AL55" s="168"/>
      <c r="AT55" s="65">
        <v>5</v>
      </c>
      <c r="AU55" s="66" t="e">
        <f>"da "&amp;ROUND(BE40,1)&amp;" a "&amp;ROUND(BE38,0)&amp;" auto/giorno a 50 kmh"</f>
        <v>#DIV/0!</v>
      </c>
      <c r="AV55" s="45"/>
      <c r="AW55" s="45"/>
      <c r="AX55" s="46">
        <v>5</v>
      </c>
      <c r="AY55" s="66" t="e">
        <f>"da "&amp;ROUND(BE62,1)&amp;" a "&amp;ROUND(BE60,0)&amp;" auto/giorno a 50 kmh"</f>
        <v>#DIV/0!</v>
      </c>
      <c r="AZ55" s="66"/>
      <c r="BA55" s="45"/>
      <c r="BB55" s="45"/>
      <c r="BC55" s="72" t="s">
        <v>10</v>
      </c>
      <c r="BD55" s="151" t="e">
        <f t="shared" ref="BD55:BI55" si="47">BD53/10</f>
        <v>#DIV/0!</v>
      </c>
      <c r="BE55" s="151" t="e">
        <f t="shared" si="47"/>
        <v>#DIV/0!</v>
      </c>
      <c r="BF55" s="151" t="e">
        <f t="shared" si="47"/>
        <v>#DIV/0!</v>
      </c>
      <c r="BG55" s="151" t="e">
        <f t="shared" si="47"/>
        <v>#DIV/0!</v>
      </c>
      <c r="BH55" s="151" t="e">
        <f t="shared" si="47"/>
        <v>#DIV/0!</v>
      </c>
      <c r="BI55" s="151" t="e">
        <f t="shared" si="47"/>
        <v>#DIV/0!</v>
      </c>
      <c r="BJ55" s="44"/>
      <c r="BK55" s="44"/>
      <c r="BL55" s="44"/>
      <c r="BM55" s="44"/>
      <c r="BN55" s="44"/>
      <c r="BO55" s="44"/>
      <c r="BP55" s="44"/>
      <c r="BQ55" s="44"/>
      <c r="BR55" s="44"/>
      <c r="BS55" s="105"/>
    </row>
    <row r="56" spans="2:73" ht="15" customHeight="1" x14ac:dyDescent="0.3">
      <c r="B56" s="575" t="s">
        <v>169</v>
      </c>
      <c r="C56" s="576"/>
      <c r="D56" s="576"/>
      <c r="E56" s="711"/>
      <c r="F56" s="540"/>
      <c r="G56" s="712"/>
      <c r="H56" s="164" t="str">
        <f>IF(E56="","",IF(E56=0,"x",IF($H$32=1,$Y53,IF($H$32&gt;1,$Z53))))</f>
        <v/>
      </c>
      <c r="I56" s="718" t="str">
        <f>IF(H56="","",IF(H56="x","Approfondimento necessario",VLOOKUP(H56,A!$AP$4:$AQ$21,2,FALSE)))</f>
        <v/>
      </c>
      <c r="J56" s="718"/>
      <c r="K56" s="718"/>
      <c r="L56" s="718"/>
      <c r="M56" s="718"/>
      <c r="N56" s="718"/>
      <c r="O56" s="718"/>
      <c r="P56" s="718"/>
      <c r="Q56" s="718"/>
      <c r="R56" s="718"/>
      <c r="S56" s="718"/>
      <c r="T56" s="718"/>
      <c r="U56" s="719"/>
      <c r="AA56" s="179"/>
      <c r="AB56" s="15"/>
      <c r="AE56" s="15" t="s">
        <v>148</v>
      </c>
      <c r="AF56" s="15"/>
      <c r="AG56" s="15" t="s">
        <v>640</v>
      </c>
      <c r="AH56" s="15"/>
      <c r="AI56" s="91" t="s">
        <v>140</v>
      </c>
      <c r="AJ56" s="15"/>
      <c r="AK56" s="99"/>
      <c r="AL56" s="168"/>
      <c r="AT56" s="65">
        <v>6</v>
      </c>
      <c r="AU56" s="66" t="e">
        <f>"da "&amp;ROUND(BE42,2)&amp;" a "&amp;ROUND(BE40,0)&amp;" auto/giorno a 50 kmh"</f>
        <v>#DIV/0!</v>
      </c>
      <c r="AV56" s="45"/>
      <c r="AW56" s="45"/>
      <c r="AX56" s="46">
        <v>6</v>
      </c>
      <c r="AY56" s="66" t="e">
        <f>"da "&amp;ROUND(BE64,2)&amp;" a "&amp;ROUND(BE62,0)&amp;" auto/giorno a 50 kmh"</f>
        <v>#DIV/0!</v>
      </c>
      <c r="AZ56" s="66"/>
      <c r="BA56" s="45"/>
      <c r="BB56" s="45"/>
      <c r="BC56" s="72" t="s">
        <v>17</v>
      </c>
      <c r="BD56" s="151" t="e">
        <f>BD55/5</f>
        <v>#DIV/0!</v>
      </c>
      <c r="BE56" s="151" t="e">
        <f t="shared" ref="BE56:BI56" si="48">BE55/5</f>
        <v>#DIV/0!</v>
      </c>
      <c r="BF56" s="151" t="e">
        <f t="shared" si="48"/>
        <v>#DIV/0!</v>
      </c>
      <c r="BG56" s="151" t="e">
        <f t="shared" si="48"/>
        <v>#DIV/0!</v>
      </c>
      <c r="BH56" s="151" t="e">
        <f t="shared" si="48"/>
        <v>#DIV/0!</v>
      </c>
      <c r="BI56" s="151" t="e">
        <f t="shared" si="48"/>
        <v>#DIV/0!</v>
      </c>
      <c r="BJ56" s="44"/>
      <c r="BK56" s="44"/>
      <c r="BL56" s="44"/>
      <c r="BM56" s="44"/>
      <c r="BN56" s="44"/>
      <c r="BO56" s="44"/>
      <c r="BP56" s="44"/>
      <c r="BQ56" s="44"/>
      <c r="BR56" s="44"/>
      <c r="BS56" s="105"/>
    </row>
    <row r="57" spans="2:73" ht="15" customHeight="1" thickBot="1" x14ac:dyDescent="0.35">
      <c r="B57" s="596" t="s">
        <v>1584</v>
      </c>
      <c r="C57" s="597"/>
      <c r="D57" s="597"/>
      <c r="E57" s="713"/>
      <c r="F57" s="629"/>
      <c r="G57" s="714"/>
      <c r="H57" s="171" t="str">
        <f>IF(E57="","",IF(E57=0,"x",IF($H$32=1,$Y54,IF($H$32&gt;1,$Z54))))</f>
        <v/>
      </c>
      <c r="I57" s="720" t="str">
        <f>IF(H57="","",IF(H57="x","Approfondimento necessario",VLOOKUP(H57,A!$AP$4:$AQ$21,2,FALSE)))</f>
        <v/>
      </c>
      <c r="J57" s="720"/>
      <c r="K57" s="720"/>
      <c r="L57" s="720"/>
      <c r="M57" s="720"/>
      <c r="N57" s="720"/>
      <c r="O57" s="720"/>
      <c r="P57" s="720"/>
      <c r="Q57" s="720"/>
      <c r="R57" s="720"/>
      <c r="S57" s="720"/>
      <c r="T57" s="720"/>
      <c r="U57" s="721"/>
      <c r="AA57" s="179"/>
      <c r="AB57" s="15"/>
      <c r="AC57" s="15" t="s">
        <v>619</v>
      </c>
      <c r="AD57" s="99" t="s">
        <v>1344</v>
      </c>
      <c r="AE57" s="15" t="s">
        <v>1341</v>
      </c>
      <c r="AF57" s="15"/>
      <c r="AG57" s="15" t="s">
        <v>1346</v>
      </c>
      <c r="AH57" s="15"/>
      <c r="AI57" s="15" t="s">
        <v>645</v>
      </c>
      <c r="AJ57" s="15"/>
      <c r="AK57" s="99"/>
      <c r="AL57" s="168"/>
      <c r="AT57" s="65">
        <v>7</v>
      </c>
      <c r="AU57" s="66" t="e">
        <f>"da "&amp;ROUND(BE43,2)&amp;" a "&amp;ROUND(BE42,2)&amp;" auto/giorno a 50 kmh"</f>
        <v>#DIV/0!</v>
      </c>
      <c r="AV57" s="45"/>
      <c r="AW57" s="45"/>
      <c r="AX57" s="46">
        <v>7</v>
      </c>
      <c r="AY57" s="66" t="e">
        <f>"da "&amp;ROUND(BE65,2)&amp;" a "&amp;ROUND(BE64,2)&amp;" auto/giorno a 50 kmh"</f>
        <v>#DIV/0!</v>
      </c>
      <c r="AZ57" s="66"/>
      <c r="BA57" s="45"/>
      <c r="BB57" s="45"/>
      <c r="BC57" s="72" t="s">
        <v>11</v>
      </c>
      <c r="BD57" s="163" t="e">
        <f t="shared" ref="BD57:BI57" si="49">BD55/10</f>
        <v>#DIV/0!</v>
      </c>
      <c r="BE57" s="163" t="e">
        <f t="shared" si="49"/>
        <v>#DIV/0!</v>
      </c>
      <c r="BF57" s="163" t="e">
        <f t="shared" si="49"/>
        <v>#DIV/0!</v>
      </c>
      <c r="BG57" s="163" t="e">
        <f t="shared" si="49"/>
        <v>#DIV/0!</v>
      </c>
      <c r="BH57" s="163" t="e">
        <f t="shared" si="49"/>
        <v>#DIV/0!</v>
      </c>
      <c r="BI57" s="163" t="e">
        <f t="shared" si="49"/>
        <v>#DIV/0!</v>
      </c>
      <c r="BJ57" s="44"/>
      <c r="BK57" s="44"/>
      <c r="BL57" s="44"/>
      <c r="BM57" s="44"/>
      <c r="BN57" s="44"/>
      <c r="BO57" s="44"/>
      <c r="BP57" s="44"/>
      <c r="BQ57" s="44"/>
      <c r="BR57" s="44"/>
      <c r="BS57" s="105"/>
    </row>
    <row r="58" spans="2:73" ht="6" customHeight="1" thickBot="1" x14ac:dyDescent="0.35">
      <c r="AA58" s="179"/>
      <c r="AB58" s="15"/>
      <c r="AC58" s="15" t="s">
        <v>1345</v>
      </c>
      <c r="AD58" s="90"/>
      <c r="AE58" s="90" t="s">
        <v>159</v>
      </c>
      <c r="AF58" s="15"/>
      <c r="AG58" s="15"/>
      <c r="AH58" s="15"/>
      <c r="AI58" s="15" t="s">
        <v>605</v>
      </c>
      <c r="AJ58" s="15"/>
      <c r="AK58" s="99"/>
      <c r="AL58" s="168"/>
      <c r="AT58" s="65"/>
      <c r="AU58" s="66"/>
      <c r="AV58" s="45"/>
      <c r="AW58" s="45"/>
      <c r="AX58" s="46"/>
      <c r="AY58" s="66"/>
      <c r="AZ58" s="66"/>
      <c r="BA58" s="45"/>
      <c r="BB58" s="45"/>
      <c r="BC58" s="72" t="s">
        <v>18</v>
      </c>
      <c r="BD58" s="151" t="e">
        <f>BD57/5</f>
        <v>#DIV/0!</v>
      </c>
      <c r="BE58" s="151" t="e">
        <f t="shared" ref="BE58:BI58" si="50">BE57/5</f>
        <v>#DIV/0!</v>
      </c>
      <c r="BF58" s="151" t="e">
        <f t="shared" si="50"/>
        <v>#DIV/0!</v>
      </c>
      <c r="BG58" s="151" t="e">
        <f t="shared" si="50"/>
        <v>#DIV/0!</v>
      </c>
      <c r="BH58" s="151" t="e">
        <f t="shared" si="50"/>
        <v>#DIV/0!</v>
      </c>
      <c r="BI58" s="151" t="e">
        <f t="shared" si="50"/>
        <v>#DIV/0!</v>
      </c>
      <c r="BJ58" s="44"/>
      <c r="BK58" s="44"/>
      <c r="BL58" s="44"/>
      <c r="BM58" s="44"/>
      <c r="BN58" s="44"/>
      <c r="BO58" s="44"/>
      <c r="BP58" s="44"/>
      <c r="BQ58" s="44"/>
      <c r="BR58" s="44"/>
      <c r="BS58" s="105"/>
    </row>
    <row r="59" spans="2:73" ht="30" customHeight="1" thickBot="1" x14ac:dyDescent="0.35">
      <c r="B59" s="200" t="s">
        <v>1163</v>
      </c>
      <c r="C59" s="587"/>
      <c r="D59" s="587"/>
      <c r="E59" s="587"/>
      <c r="F59" s="587"/>
      <c r="G59" s="587"/>
      <c r="H59" s="587"/>
      <c r="I59" s="587"/>
      <c r="J59" s="587"/>
      <c r="K59" s="587"/>
      <c r="L59" s="587"/>
      <c r="M59" s="587"/>
      <c r="N59" s="587"/>
      <c r="O59" s="587"/>
      <c r="P59" s="587"/>
      <c r="Q59" s="587"/>
      <c r="R59" s="587"/>
      <c r="S59" s="587"/>
      <c r="T59" s="587"/>
      <c r="U59" s="588"/>
      <c r="AA59" s="179"/>
      <c r="AB59" s="15"/>
      <c r="AC59" s="15" t="s">
        <v>618</v>
      </c>
      <c r="AD59" s="169"/>
      <c r="AE59" s="90" t="s">
        <v>167</v>
      </c>
      <c r="AF59" s="15"/>
      <c r="AG59" s="15" t="s">
        <v>619</v>
      </c>
      <c r="AH59" s="99" t="s">
        <v>1344</v>
      </c>
      <c r="AI59" s="15" t="s">
        <v>148</v>
      </c>
      <c r="AJ59" s="15"/>
      <c r="AK59" s="99"/>
      <c r="AL59" s="168"/>
      <c r="AT59" s="65">
        <v>1</v>
      </c>
      <c r="AU59" s="66" t="e">
        <f>"da "&amp;ROUND(BD32,0)&amp;" a "&amp;ROUND(BD31,0)&amp;" auto/giorno a 30 kmh"</f>
        <v>#DIV/0!</v>
      </c>
      <c r="AV59" s="45"/>
      <c r="AW59" s="45"/>
      <c r="AX59" s="46">
        <v>1</v>
      </c>
      <c r="AY59" s="66" t="e">
        <f>"da "&amp;ROUND(BD54,0)&amp;" a "&amp;ROUND(BD53,0)&amp;" auto/giorno a 30 kmh"</f>
        <v>#DIV/0!</v>
      </c>
      <c r="AZ59" s="66"/>
      <c r="BA59" s="45"/>
      <c r="BB59" s="45"/>
      <c r="BC59" s="72" t="s">
        <v>12</v>
      </c>
      <c r="BD59" s="170" t="e">
        <f t="shared" ref="BD59:BI59" si="51">BD57/10</f>
        <v>#DIV/0!</v>
      </c>
      <c r="BE59" s="170" t="e">
        <f t="shared" si="51"/>
        <v>#DIV/0!</v>
      </c>
      <c r="BF59" s="170" t="e">
        <f t="shared" si="51"/>
        <v>#DIV/0!</v>
      </c>
      <c r="BG59" s="170" t="e">
        <f t="shared" si="51"/>
        <v>#DIV/0!</v>
      </c>
      <c r="BH59" s="170" t="e">
        <f t="shared" si="51"/>
        <v>#DIV/0!</v>
      </c>
      <c r="BI59" s="170" t="e">
        <f t="shared" si="51"/>
        <v>#DIV/0!</v>
      </c>
      <c r="BJ59" s="44"/>
      <c r="BK59" s="44"/>
      <c r="BL59" s="44"/>
      <c r="BM59" s="44"/>
      <c r="BN59" s="44"/>
      <c r="BO59" s="44"/>
      <c r="BP59" s="44"/>
      <c r="BQ59" s="44"/>
      <c r="BR59" s="44"/>
      <c r="BS59" s="105"/>
    </row>
    <row r="60" spans="2:73" ht="15" customHeight="1" x14ac:dyDescent="0.3">
      <c r="B60" s="189"/>
      <c r="C60" s="190"/>
      <c r="D60" s="189"/>
      <c r="E60" s="189"/>
      <c r="F60" s="191"/>
      <c r="G60" s="97"/>
      <c r="H60" s="190"/>
      <c r="I60" s="189"/>
      <c r="J60" s="189"/>
      <c r="K60" s="190"/>
      <c r="L60" s="189"/>
      <c r="M60" s="201"/>
      <c r="N60" s="189"/>
      <c r="O60" s="189"/>
      <c r="P60" s="201"/>
      <c r="Q60" s="189"/>
      <c r="R60" s="201"/>
      <c r="S60" s="189"/>
      <c r="T60" s="189"/>
      <c r="U60" s="201"/>
      <c r="AA60" s="179"/>
      <c r="AB60" s="15"/>
      <c r="AC60" s="15" t="s">
        <v>617</v>
      </c>
      <c r="AD60" s="99"/>
      <c r="AE60" s="99" t="s">
        <v>622</v>
      </c>
      <c r="AF60" s="90"/>
      <c r="AG60" s="15" t="s">
        <v>1345</v>
      </c>
      <c r="AH60" s="15"/>
      <c r="AI60" s="15" t="s">
        <v>1341</v>
      </c>
      <c r="AJ60" s="15"/>
      <c r="AK60" s="99"/>
      <c r="AL60" s="168"/>
      <c r="AT60" s="65">
        <v>2</v>
      </c>
      <c r="AU60" s="66" t="e">
        <f>"da "&amp;ROUND(BD34,0)&amp;" a "&amp;ROUND(BD32,0)&amp;" auto/giorno a 30 kmh"</f>
        <v>#DIV/0!</v>
      </c>
      <c r="AV60" s="45"/>
      <c r="AW60" s="45"/>
      <c r="AX60" s="46">
        <v>2</v>
      </c>
      <c r="AY60" s="66" t="e">
        <f>"da "&amp;ROUND(BD56,0)&amp;" a "&amp;ROUND(BD54,0)&amp;" auto/giorno a 30 kmh"</f>
        <v>#DIV/0!</v>
      </c>
      <c r="AZ60" s="66"/>
      <c r="BA60" s="45"/>
      <c r="BB60" s="45"/>
      <c r="BC60" s="72" t="s">
        <v>19</v>
      </c>
      <c r="BD60" s="151" t="e">
        <f>BD59/5</f>
        <v>#DIV/0!</v>
      </c>
      <c r="BE60" s="151" t="e">
        <f t="shared" ref="BE60:BI60" si="52">BE59/5</f>
        <v>#DIV/0!</v>
      </c>
      <c r="BF60" s="151" t="e">
        <f t="shared" si="52"/>
        <v>#DIV/0!</v>
      </c>
      <c r="BG60" s="151" t="e">
        <f t="shared" si="52"/>
        <v>#DIV/0!</v>
      </c>
      <c r="BH60" s="151" t="e">
        <f t="shared" si="52"/>
        <v>#DIV/0!</v>
      </c>
      <c r="BI60" s="151" t="e">
        <f t="shared" si="52"/>
        <v>#DIV/0!</v>
      </c>
      <c r="BJ60" s="44"/>
      <c r="BK60" s="44"/>
      <c r="BL60" s="44"/>
      <c r="BM60" s="44"/>
      <c r="BN60" s="44"/>
      <c r="BO60" s="44"/>
      <c r="BP60" s="44"/>
      <c r="BQ60" s="44"/>
      <c r="BR60" s="44"/>
      <c r="BS60" s="105"/>
    </row>
    <row r="61" spans="2:73" ht="13.95" customHeight="1" x14ac:dyDescent="0.3">
      <c r="AA61" s="179"/>
      <c r="AB61" s="15"/>
      <c r="AD61" s="15"/>
      <c r="AE61" s="99" t="s">
        <v>623</v>
      </c>
      <c r="AF61" s="15"/>
      <c r="AG61" s="15" t="s">
        <v>618</v>
      </c>
      <c r="AH61" s="15"/>
      <c r="AI61" s="91" t="s">
        <v>159</v>
      </c>
      <c r="AJ61" s="15"/>
      <c r="AK61" s="99"/>
      <c r="AL61" s="168"/>
      <c r="AT61" s="65">
        <v>3</v>
      </c>
      <c r="AU61" s="66" t="e">
        <f>"da "&amp;ROUND(BD36,0)&amp;" a "&amp;ROUND(BD34,0)&amp;" auto/giorno a 30 kmh"</f>
        <v>#DIV/0!</v>
      </c>
      <c r="AV61" s="45"/>
      <c r="AW61" s="45"/>
      <c r="AX61" s="46">
        <v>3</v>
      </c>
      <c r="AY61" s="66" t="e">
        <f>"da "&amp;ROUND(BD58,0)&amp;" a "&amp;ROUND(BD56,0)&amp;" auto/giorno a 30 kmh"</f>
        <v>#DIV/0!</v>
      </c>
      <c r="AZ61" s="66"/>
      <c r="BA61" s="45"/>
      <c r="BB61" s="45"/>
      <c r="BC61" s="72" t="s">
        <v>13</v>
      </c>
      <c r="BD61" s="170" t="e">
        <f t="shared" ref="BD61:BI61" si="53">BD59/10</f>
        <v>#DIV/0!</v>
      </c>
      <c r="BE61" s="170" t="e">
        <f t="shared" si="53"/>
        <v>#DIV/0!</v>
      </c>
      <c r="BF61" s="170" t="e">
        <f t="shared" si="53"/>
        <v>#DIV/0!</v>
      </c>
      <c r="BG61" s="170" t="e">
        <f t="shared" si="53"/>
        <v>#DIV/0!</v>
      </c>
      <c r="BH61" s="170" t="e">
        <f t="shared" si="53"/>
        <v>#DIV/0!</v>
      </c>
      <c r="BI61" s="170" t="e">
        <f t="shared" si="53"/>
        <v>#DIV/0!</v>
      </c>
      <c r="BJ61" s="44"/>
      <c r="BK61" s="44"/>
      <c r="BL61" s="44"/>
      <c r="BM61" s="44"/>
      <c r="BN61" s="44"/>
      <c r="BO61" s="44"/>
      <c r="BP61" s="44"/>
      <c r="BQ61" s="44"/>
      <c r="BR61" s="44"/>
      <c r="BS61" s="105"/>
    </row>
    <row r="62" spans="2:73" ht="13.95" customHeight="1" x14ac:dyDescent="0.3">
      <c r="AA62" s="179"/>
      <c r="AB62" s="15"/>
      <c r="AC62" s="15" t="s">
        <v>467</v>
      </c>
      <c r="AD62" s="99" t="s">
        <v>1331</v>
      </c>
      <c r="AE62" s="202" t="s">
        <v>142</v>
      </c>
      <c r="AF62" s="15"/>
      <c r="AG62" s="15" t="s">
        <v>617</v>
      </c>
      <c r="AH62" s="177"/>
      <c r="AI62" s="15" t="s">
        <v>167</v>
      </c>
      <c r="AJ62" s="100"/>
      <c r="AK62" s="99"/>
      <c r="AL62" s="168"/>
      <c r="AT62" s="65">
        <v>4</v>
      </c>
      <c r="AU62" s="66" t="e">
        <f>"da "&amp;ROUND(BD38,0)&amp;" a "&amp;ROUND(BD36,0)&amp;" auto/giorno a 30 kmh"</f>
        <v>#DIV/0!</v>
      </c>
      <c r="AV62" s="45"/>
      <c r="AW62" s="45"/>
      <c r="AX62" s="46">
        <v>4</v>
      </c>
      <c r="AY62" s="66" t="e">
        <f>"da "&amp;ROUND(BD60,0)&amp;" a "&amp;ROUND(BD58,0)&amp;" auto/giorno a 30 kmh"</f>
        <v>#DIV/0!</v>
      </c>
      <c r="AZ62" s="66"/>
      <c r="BA62" s="45"/>
      <c r="BB62" s="45"/>
      <c r="BC62" s="72" t="s">
        <v>20</v>
      </c>
      <c r="BD62" s="151" t="e">
        <f>BD61/5</f>
        <v>#DIV/0!</v>
      </c>
      <c r="BE62" s="151" t="e">
        <f t="shared" ref="BE62:BI62" si="54">BE61/5</f>
        <v>#DIV/0!</v>
      </c>
      <c r="BF62" s="151" t="e">
        <f t="shared" si="54"/>
        <v>#DIV/0!</v>
      </c>
      <c r="BG62" s="151" t="e">
        <f t="shared" si="54"/>
        <v>#DIV/0!</v>
      </c>
      <c r="BH62" s="151" t="e">
        <f t="shared" si="54"/>
        <v>#DIV/0!</v>
      </c>
      <c r="BI62" s="151" t="e">
        <f t="shared" si="54"/>
        <v>#DIV/0!</v>
      </c>
      <c r="BJ62" s="44"/>
      <c r="BK62" s="44"/>
      <c r="BL62" s="44"/>
      <c r="BM62" s="44"/>
      <c r="BN62" s="44"/>
      <c r="BO62" s="44"/>
      <c r="BP62" s="44"/>
      <c r="BQ62" s="44"/>
      <c r="BR62" s="44"/>
      <c r="BS62" s="105"/>
    </row>
    <row r="63" spans="2:73" ht="13.95" customHeight="1" x14ac:dyDescent="0.3">
      <c r="B63" s="189"/>
      <c r="C63" s="190"/>
      <c r="D63" s="189"/>
      <c r="E63" s="189"/>
      <c r="F63" s="191"/>
      <c r="G63" s="97"/>
      <c r="H63" s="190"/>
      <c r="I63" s="189"/>
      <c r="J63" s="189"/>
      <c r="K63" s="190"/>
      <c r="L63" s="189"/>
      <c r="M63" s="201"/>
      <c r="N63" s="189"/>
      <c r="O63" s="189"/>
      <c r="P63" s="201"/>
      <c r="Q63" s="189"/>
      <c r="R63" s="201"/>
      <c r="S63" s="189"/>
      <c r="T63" s="203"/>
      <c r="AA63" s="179"/>
      <c r="AB63" s="15"/>
      <c r="AD63" s="99"/>
      <c r="AE63" s="99" t="s">
        <v>640</v>
      </c>
      <c r="AF63" s="15"/>
      <c r="AG63" s="15"/>
      <c r="AH63" s="15"/>
      <c r="AI63" s="15" t="s">
        <v>622</v>
      </c>
      <c r="AJ63" s="15"/>
      <c r="AK63" s="99"/>
      <c r="AL63" s="168"/>
      <c r="AT63" s="65">
        <v>5</v>
      </c>
      <c r="AU63" s="66" t="e">
        <f>"da "&amp;ROUND(BD40,1)&amp;" a "&amp;ROUND(BD38,0)&amp;" auto/giorno a 30 kmh"</f>
        <v>#DIV/0!</v>
      </c>
      <c r="AV63" s="45"/>
      <c r="AW63" s="45"/>
      <c r="AX63" s="46">
        <v>5</v>
      </c>
      <c r="AY63" s="66" t="e">
        <f>"da "&amp;ROUND(BD62,1)&amp;" a "&amp;ROUND(BD60,0)&amp;" auto/giorno a 30 kmh"</f>
        <v>#DIV/0!</v>
      </c>
      <c r="AZ63" s="66"/>
      <c r="BA63" s="45"/>
      <c r="BB63" s="45"/>
      <c r="BC63" s="72" t="s">
        <v>14</v>
      </c>
      <c r="BD63" s="170" t="e">
        <f t="shared" ref="BD63:BI63" si="55">BD61/10</f>
        <v>#DIV/0!</v>
      </c>
      <c r="BE63" s="170" t="e">
        <f t="shared" si="55"/>
        <v>#DIV/0!</v>
      </c>
      <c r="BF63" s="170" t="e">
        <f t="shared" si="55"/>
        <v>#DIV/0!</v>
      </c>
      <c r="BG63" s="170" t="e">
        <f t="shared" si="55"/>
        <v>#DIV/0!</v>
      </c>
      <c r="BH63" s="170" t="e">
        <f t="shared" si="55"/>
        <v>#DIV/0!</v>
      </c>
      <c r="BI63" s="170" t="e">
        <f t="shared" si="55"/>
        <v>#DIV/0!</v>
      </c>
      <c r="BJ63" s="44"/>
      <c r="BK63" s="44"/>
      <c r="BL63" s="44"/>
      <c r="BM63" s="44"/>
      <c r="BN63" s="44"/>
      <c r="BO63" s="44"/>
      <c r="BP63" s="44"/>
      <c r="BQ63" s="44"/>
      <c r="BR63" s="44"/>
      <c r="BS63" s="105"/>
    </row>
    <row r="64" spans="2:73" ht="13.95" customHeight="1" x14ac:dyDescent="0.3">
      <c r="B64" s="189"/>
      <c r="C64" s="190"/>
      <c r="D64" s="189"/>
      <c r="E64" s="189"/>
      <c r="F64" s="191"/>
      <c r="G64" s="97"/>
      <c r="H64" s="190"/>
      <c r="I64" s="189"/>
      <c r="J64" s="189"/>
      <c r="K64" s="190"/>
      <c r="L64" s="189"/>
      <c r="M64" s="201"/>
      <c r="N64" s="189"/>
      <c r="O64" s="189"/>
      <c r="P64" s="201"/>
      <c r="Q64" s="189"/>
      <c r="R64" s="201"/>
      <c r="S64" s="189"/>
      <c r="T64" s="204"/>
      <c r="AA64" s="179"/>
      <c r="AB64" s="15"/>
      <c r="AC64" s="99"/>
      <c r="AD64" s="99"/>
      <c r="AE64" s="99"/>
      <c r="AF64" s="90"/>
      <c r="AG64" s="15" t="s">
        <v>467</v>
      </c>
      <c r="AH64" s="99" t="s">
        <v>1331</v>
      </c>
      <c r="AI64" s="15" t="s">
        <v>623</v>
      </c>
      <c r="AJ64" s="15"/>
      <c r="AK64" s="99"/>
      <c r="AL64" s="168"/>
      <c r="AT64" s="65">
        <v>6</v>
      </c>
      <c r="AU64" s="66" t="e">
        <f>"da "&amp;ROUND(BD42,2)&amp;" a "&amp;ROUND(BD40,0)&amp;" auto/giorno a 30 kmh"</f>
        <v>#DIV/0!</v>
      </c>
      <c r="AV64" s="45"/>
      <c r="AW64" s="45"/>
      <c r="AX64" s="46">
        <v>6</v>
      </c>
      <c r="AY64" s="66" t="e">
        <f>"da "&amp;ROUND(BD64,2)&amp;" a "&amp;ROUND(BD62,0)&amp;" auto/giorno a 30 kmh"</f>
        <v>#DIV/0!</v>
      </c>
      <c r="AZ64" s="66"/>
      <c r="BA64" s="45"/>
      <c r="BB64" s="45"/>
      <c r="BC64" s="72" t="s">
        <v>21</v>
      </c>
      <c r="BD64" s="151" t="e">
        <f>BD63/5</f>
        <v>#DIV/0!</v>
      </c>
      <c r="BE64" s="151" t="e">
        <f t="shared" ref="BE64:BI64" si="56">BE63/5</f>
        <v>#DIV/0!</v>
      </c>
      <c r="BF64" s="151" t="e">
        <f t="shared" si="56"/>
        <v>#DIV/0!</v>
      </c>
      <c r="BG64" s="151" t="e">
        <f t="shared" si="56"/>
        <v>#DIV/0!</v>
      </c>
      <c r="BH64" s="151" t="e">
        <f t="shared" si="56"/>
        <v>#DIV/0!</v>
      </c>
      <c r="BI64" s="151" t="e">
        <f t="shared" si="56"/>
        <v>#DIV/0!</v>
      </c>
      <c r="BJ64" s="44"/>
      <c r="BK64" s="44"/>
      <c r="BL64" s="44"/>
      <c r="BM64" s="44"/>
      <c r="BN64" s="44"/>
      <c r="BO64" s="44"/>
      <c r="BP64" s="44"/>
      <c r="BQ64" s="44"/>
      <c r="BR64" s="44"/>
      <c r="BS64" s="105"/>
    </row>
    <row r="65" spans="2:71" ht="13.95" customHeight="1" x14ac:dyDescent="0.3">
      <c r="B65" s="189"/>
      <c r="C65" s="190"/>
      <c r="D65" s="189"/>
      <c r="E65" s="189"/>
      <c r="F65" s="191"/>
      <c r="G65" s="97"/>
      <c r="H65" s="190"/>
      <c r="I65" s="189"/>
      <c r="J65" s="189"/>
      <c r="K65" s="190"/>
      <c r="L65" s="189"/>
      <c r="M65" s="201"/>
      <c r="N65" s="189"/>
      <c r="O65" s="189"/>
      <c r="P65" s="201"/>
      <c r="Q65" s="189"/>
      <c r="R65" s="201"/>
      <c r="S65" s="189"/>
      <c r="T65" s="204"/>
      <c r="AA65" s="179"/>
      <c r="AB65" s="15"/>
      <c r="AC65" s="99"/>
      <c r="AD65" s="99"/>
      <c r="AE65" s="90" t="s">
        <v>619</v>
      </c>
      <c r="AF65" s="99" t="s">
        <v>1344</v>
      </c>
      <c r="AG65" s="15"/>
      <c r="AH65" s="99"/>
      <c r="AI65" s="15" t="s">
        <v>142</v>
      </c>
      <c r="AJ65" s="15"/>
      <c r="AK65" s="99"/>
      <c r="AL65" s="168"/>
      <c r="AT65" s="65">
        <v>7</v>
      </c>
      <c r="AU65" s="66" t="e">
        <f>"da "&amp;ROUND(BD43,2)&amp;" a "&amp;ROUND(BD42,2)&amp;" auto/giorno a 30 kmh"</f>
        <v>#DIV/0!</v>
      </c>
      <c r="AV65" s="45"/>
      <c r="AW65" s="45"/>
      <c r="AX65" s="46">
        <v>7</v>
      </c>
      <c r="AY65" s="66" t="e">
        <f>"da "&amp;ROUND(BD65,2)&amp;" a "&amp;ROUND(BD64,2)&amp;" auto/giorno a 30 kmh"</f>
        <v>#DIV/0!</v>
      </c>
      <c r="AZ65" s="66"/>
      <c r="BA65" s="45"/>
      <c r="BB65" s="45"/>
      <c r="BC65" s="72" t="s">
        <v>15</v>
      </c>
      <c r="BD65" s="178" t="e">
        <f t="shared" ref="BD65:BI65" si="57">BD63/10</f>
        <v>#DIV/0!</v>
      </c>
      <c r="BE65" s="178" t="e">
        <f t="shared" si="57"/>
        <v>#DIV/0!</v>
      </c>
      <c r="BF65" s="178" t="e">
        <f t="shared" si="57"/>
        <v>#DIV/0!</v>
      </c>
      <c r="BG65" s="178" t="e">
        <f t="shared" si="57"/>
        <v>#DIV/0!</v>
      </c>
      <c r="BH65" s="178" t="e">
        <f t="shared" si="57"/>
        <v>#DIV/0!</v>
      </c>
      <c r="BI65" s="178" t="e">
        <f t="shared" si="57"/>
        <v>#DIV/0!</v>
      </c>
      <c r="BJ65" s="44"/>
      <c r="BK65" s="44"/>
      <c r="BL65" s="44"/>
      <c r="BM65" s="44"/>
      <c r="BN65" s="44"/>
      <c r="BO65" s="44"/>
      <c r="BP65" s="44"/>
      <c r="BQ65" s="44"/>
      <c r="BR65" s="44"/>
      <c r="BS65" s="105"/>
    </row>
    <row r="66" spans="2:71" ht="13.95" customHeight="1" x14ac:dyDescent="0.3">
      <c r="B66" s="189"/>
      <c r="C66" s="190"/>
      <c r="D66" s="189"/>
      <c r="E66" s="189"/>
      <c r="F66" s="191"/>
      <c r="G66" s="97"/>
      <c r="H66" s="190"/>
      <c r="I66" s="189"/>
      <c r="J66" s="189"/>
      <c r="K66" s="190"/>
      <c r="L66" s="189"/>
      <c r="M66" s="201"/>
      <c r="N66" s="189"/>
      <c r="O66" s="189"/>
      <c r="P66" s="201"/>
      <c r="Q66" s="189"/>
      <c r="R66" s="201"/>
      <c r="S66" s="189"/>
      <c r="T66" s="204"/>
      <c r="AA66" s="179"/>
      <c r="AB66" s="99"/>
      <c r="AC66" s="99"/>
      <c r="AD66" s="99"/>
      <c r="AE66" s="99" t="s">
        <v>1345</v>
      </c>
      <c r="AF66" s="99"/>
      <c r="AG66" s="99"/>
      <c r="AH66" s="99"/>
      <c r="AI66" s="15" t="s">
        <v>1343</v>
      </c>
      <c r="AJ66" s="15"/>
      <c r="AK66" s="99"/>
      <c r="AL66" s="168"/>
      <c r="AT66" s="129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6"/>
      <c r="BK66" s="206"/>
      <c r="BL66" s="206"/>
      <c r="BM66" s="206"/>
      <c r="BN66" s="206"/>
      <c r="BO66" s="206"/>
      <c r="BP66" s="206"/>
      <c r="BQ66" s="206"/>
      <c r="BR66" s="206"/>
      <c r="BS66" s="207"/>
    </row>
    <row r="67" spans="2:71" ht="16.05" customHeight="1" x14ac:dyDescent="0.3">
      <c r="B67" s="189"/>
      <c r="C67" s="190"/>
      <c r="D67" s="189"/>
      <c r="E67" s="189"/>
      <c r="F67" s="191"/>
      <c r="G67" s="97"/>
      <c r="H67" s="190"/>
      <c r="I67" s="189"/>
      <c r="J67" s="189"/>
      <c r="K67" s="190"/>
      <c r="L67" s="189"/>
      <c r="M67" s="201"/>
      <c r="N67" s="189"/>
      <c r="O67" s="189"/>
      <c r="P67" s="201"/>
      <c r="Q67" s="189"/>
      <c r="R67" s="201"/>
      <c r="S67" s="189"/>
      <c r="T67" s="204"/>
      <c r="AA67" s="179"/>
      <c r="AB67" s="15"/>
      <c r="AC67" s="99"/>
      <c r="AD67" s="99"/>
      <c r="AE67" s="90" t="s">
        <v>618</v>
      </c>
      <c r="AF67" s="90"/>
      <c r="AG67" s="99"/>
      <c r="AH67" s="99"/>
      <c r="AI67" s="15" t="s">
        <v>1347</v>
      </c>
      <c r="AJ67" s="15"/>
      <c r="AK67" s="99"/>
      <c r="AL67" s="168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</row>
    <row r="68" spans="2:71" x14ac:dyDescent="0.3">
      <c r="B68" s="189"/>
      <c r="C68" s="190"/>
      <c r="D68" s="189"/>
      <c r="E68" s="189"/>
      <c r="F68" s="191"/>
      <c r="G68" s="97"/>
      <c r="H68" s="190"/>
      <c r="I68" s="189"/>
      <c r="J68" s="189"/>
      <c r="K68" s="190"/>
      <c r="L68" s="189"/>
      <c r="M68" s="201"/>
      <c r="N68" s="189"/>
      <c r="O68" s="189"/>
      <c r="P68" s="201"/>
      <c r="Q68" s="189"/>
      <c r="R68" s="201"/>
      <c r="S68" s="189"/>
      <c r="T68" s="204"/>
      <c r="AA68" s="179"/>
      <c r="AB68" s="15"/>
      <c r="AC68" s="99"/>
      <c r="AD68" s="99"/>
      <c r="AE68" s="169" t="s">
        <v>617</v>
      </c>
      <c r="AF68" s="169"/>
      <c r="AG68" s="99"/>
      <c r="AH68" s="99"/>
      <c r="AI68" s="15" t="s">
        <v>640</v>
      </c>
      <c r="AJ68" s="15"/>
      <c r="AK68" s="99"/>
      <c r="AL68" s="168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</row>
    <row r="69" spans="2:71" x14ac:dyDescent="0.3">
      <c r="B69" s="189"/>
      <c r="C69" s="190"/>
      <c r="D69" s="189"/>
      <c r="E69" s="189"/>
      <c r="F69" s="191"/>
      <c r="G69" s="97"/>
      <c r="H69" s="190"/>
      <c r="I69" s="189"/>
      <c r="J69" s="189"/>
      <c r="K69" s="190"/>
      <c r="L69" s="189"/>
      <c r="M69" s="201"/>
      <c r="N69" s="189"/>
      <c r="O69" s="189"/>
      <c r="P69" s="201"/>
      <c r="Q69" s="189"/>
      <c r="R69" s="201"/>
      <c r="S69" s="189"/>
      <c r="T69" s="204"/>
      <c r="AA69" s="208"/>
      <c r="AB69" s="209"/>
      <c r="AC69" s="99"/>
      <c r="AD69" s="99"/>
      <c r="AE69" s="99"/>
      <c r="AF69" s="99"/>
      <c r="AG69" s="99"/>
      <c r="AH69" s="99"/>
      <c r="AK69" s="99"/>
      <c r="AL69" s="168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</row>
    <row r="70" spans="2:71" x14ac:dyDescent="0.3">
      <c r="B70" s="189"/>
      <c r="C70" s="190"/>
      <c r="D70" s="189"/>
      <c r="E70" s="189"/>
      <c r="F70" s="191"/>
      <c r="G70" s="97"/>
      <c r="H70" s="190"/>
      <c r="I70" s="189"/>
      <c r="J70" s="189"/>
      <c r="K70" s="190"/>
      <c r="L70" s="189"/>
      <c r="M70" s="201"/>
      <c r="N70" s="189"/>
      <c r="O70" s="189"/>
      <c r="P70" s="201"/>
      <c r="Q70" s="189"/>
      <c r="R70" s="201"/>
      <c r="S70" s="189"/>
      <c r="T70" s="204"/>
      <c r="AA70" s="208"/>
      <c r="AB70" s="209"/>
      <c r="AC70" s="210"/>
      <c r="AD70" s="210"/>
      <c r="AE70" s="15" t="s">
        <v>467</v>
      </c>
      <c r="AF70" s="99" t="s">
        <v>1331</v>
      </c>
      <c r="AG70" s="99"/>
      <c r="AH70" s="99"/>
      <c r="AI70" s="15" t="s">
        <v>619</v>
      </c>
      <c r="AJ70" s="99" t="s">
        <v>1344</v>
      </c>
      <c r="AK70" s="99"/>
      <c r="AL70" s="168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</row>
    <row r="71" spans="2:71" x14ac:dyDescent="0.3">
      <c r="B71" s="189"/>
      <c r="C71" s="190"/>
      <c r="D71" s="189"/>
      <c r="E71" s="189"/>
      <c r="F71" s="191"/>
      <c r="G71" s="97"/>
      <c r="H71" s="190"/>
      <c r="I71" s="189"/>
      <c r="J71" s="189"/>
      <c r="K71" s="190"/>
      <c r="L71" s="189"/>
      <c r="M71" s="201"/>
      <c r="N71" s="189"/>
      <c r="O71" s="189"/>
      <c r="P71" s="201"/>
      <c r="Q71" s="189"/>
      <c r="R71" s="201"/>
      <c r="S71" s="189"/>
      <c r="T71" s="204"/>
      <c r="AA71" s="208"/>
      <c r="AB71" s="209"/>
      <c r="AC71" s="210"/>
      <c r="AD71" s="210"/>
      <c r="AE71" s="209"/>
      <c r="AF71" s="210"/>
      <c r="AG71" s="99"/>
      <c r="AH71" s="99"/>
      <c r="AI71" s="15" t="s">
        <v>1345</v>
      </c>
      <c r="AJ71" s="100"/>
      <c r="AK71" s="99"/>
      <c r="AL71" s="168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</row>
    <row r="72" spans="2:71" x14ac:dyDescent="0.3">
      <c r="B72" s="189"/>
      <c r="C72" s="190"/>
      <c r="D72" s="189"/>
      <c r="E72" s="189"/>
      <c r="F72" s="191"/>
      <c r="G72" s="97"/>
      <c r="H72" s="190"/>
      <c r="I72" s="189"/>
      <c r="J72" s="189"/>
      <c r="K72" s="190"/>
      <c r="L72" s="189"/>
      <c r="M72" s="201"/>
      <c r="N72" s="189"/>
      <c r="O72" s="189"/>
      <c r="P72" s="201"/>
      <c r="Q72" s="189"/>
      <c r="R72" s="201"/>
      <c r="S72" s="189"/>
      <c r="T72" s="204"/>
      <c r="AA72" s="208"/>
      <c r="AB72" s="209"/>
      <c r="AC72" s="210"/>
      <c r="AD72" s="210"/>
      <c r="AF72" s="210"/>
      <c r="AG72" s="210"/>
      <c r="AH72" s="210"/>
      <c r="AI72" s="15" t="s">
        <v>618</v>
      </c>
      <c r="AJ72" s="15"/>
      <c r="AK72" s="99"/>
      <c r="AL72" s="168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</row>
    <row r="73" spans="2:71" x14ac:dyDescent="0.3">
      <c r="B73" s="189"/>
      <c r="C73" s="190"/>
      <c r="D73" s="189"/>
      <c r="E73" s="189"/>
      <c r="F73" s="191"/>
      <c r="G73" s="97"/>
      <c r="H73" s="190"/>
      <c r="I73" s="189"/>
      <c r="J73" s="189"/>
      <c r="K73" s="190"/>
      <c r="L73" s="189"/>
      <c r="M73" s="201"/>
      <c r="N73" s="189"/>
      <c r="O73" s="189"/>
      <c r="P73" s="201"/>
      <c r="Q73" s="189"/>
      <c r="R73" s="201"/>
      <c r="S73" s="189"/>
      <c r="T73" s="204"/>
      <c r="AA73" s="208"/>
      <c r="AB73" s="209"/>
      <c r="AC73" s="210"/>
      <c r="AD73" s="210"/>
      <c r="AE73" s="209"/>
      <c r="AF73" s="210"/>
      <c r="AG73" s="210"/>
      <c r="AH73" s="210"/>
      <c r="AI73" s="209" t="s">
        <v>617</v>
      </c>
      <c r="AJ73" s="211"/>
      <c r="AK73" s="99"/>
      <c r="AL73" s="168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</row>
    <row r="74" spans="2:71" x14ac:dyDescent="0.3">
      <c r="B74" s="189"/>
      <c r="C74" s="190"/>
      <c r="D74" s="189"/>
      <c r="E74" s="189"/>
      <c r="F74" s="191"/>
      <c r="G74" s="97"/>
      <c r="H74" s="190"/>
      <c r="I74" s="189"/>
      <c r="J74" s="189"/>
      <c r="K74" s="190"/>
      <c r="L74" s="189"/>
      <c r="M74" s="201"/>
      <c r="N74" s="189"/>
      <c r="O74" s="189"/>
      <c r="P74" s="201"/>
      <c r="Q74" s="189"/>
      <c r="R74" s="201"/>
      <c r="S74" s="189"/>
      <c r="T74" s="204"/>
      <c r="AA74" s="179"/>
      <c r="AB74" s="212"/>
      <c r="AC74" s="99"/>
      <c r="AD74" s="99"/>
      <c r="AE74" s="15"/>
      <c r="AF74" s="99"/>
      <c r="AG74" s="99"/>
      <c r="AH74" s="99"/>
      <c r="AI74" s="15"/>
      <c r="AJ74" s="173"/>
      <c r="AK74" s="99"/>
      <c r="AL74" s="168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</row>
    <row r="75" spans="2:71" ht="16.2" thickBot="1" x14ac:dyDescent="0.35">
      <c r="B75" s="189"/>
      <c r="C75" s="190"/>
      <c r="D75" s="189"/>
      <c r="E75" s="189"/>
      <c r="F75" s="191"/>
      <c r="G75" s="97"/>
      <c r="H75" s="190"/>
      <c r="I75" s="189"/>
      <c r="J75" s="189"/>
      <c r="K75" s="190"/>
      <c r="L75" s="189"/>
      <c r="M75" s="201"/>
      <c r="N75" s="189"/>
      <c r="O75" s="189"/>
      <c r="P75" s="201"/>
      <c r="Q75" s="189"/>
      <c r="R75" s="201"/>
      <c r="S75" s="189"/>
      <c r="AA75" s="213"/>
      <c r="AB75" s="214"/>
      <c r="AC75" s="215"/>
      <c r="AD75" s="215"/>
      <c r="AE75" s="215"/>
      <c r="AF75" s="215"/>
      <c r="AG75" s="215"/>
      <c r="AH75" s="215"/>
      <c r="AI75" s="216" t="s">
        <v>467</v>
      </c>
      <c r="AJ75" s="215" t="s">
        <v>1331</v>
      </c>
      <c r="AK75" s="99"/>
      <c r="AL75" s="168"/>
      <c r="AT75" s="217" t="s">
        <v>1637</v>
      </c>
      <c r="AU75" s="218"/>
      <c r="AV75" s="219"/>
      <c r="AW75" s="219"/>
      <c r="AX75" s="220"/>
      <c r="AY75" s="220"/>
      <c r="AZ75" s="220"/>
      <c r="BA75" s="220"/>
      <c r="BB75" s="220"/>
      <c r="BC75" s="220"/>
      <c r="BD75" s="220"/>
      <c r="BE75" s="220"/>
      <c r="BF75" s="220"/>
      <c r="BG75" s="220"/>
      <c r="BH75" s="220"/>
      <c r="BI75" s="220"/>
      <c r="BJ75" s="221"/>
      <c r="BK75" s="221"/>
      <c r="BL75" s="221"/>
      <c r="BM75" s="221"/>
      <c r="BN75" s="221"/>
      <c r="BO75" s="221"/>
      <c r="BP75" s="221"/>
      <c r="BQ75" s="221"/>
      <c r="BR75" s="221"/>
      <c r="BS75" s="221"/>
    </row>
    <row r="76" spans="2:71" x14ac:dyDescent="0.3">
      <c r="B76" s="189"/>
      <c r="C76" s="190"/>
      <c r="D76" s="189"/>
      <c r="E76" s="189"/>
      <c r="F76" s="191"/>
      <c r="G76" s="97"/>
      <c r="H76" s="190"/>
      <c r="I76" s="189"/>
      <c r="J76" s="189"/>
      <c r="K76" s="190"/>
      <c r="L76" s="189"/>
      <c r="M76" s="201"/>
      <c r="N76" s="189"/>
      <c r="O76" s="189"/>
      <c r="P76" s="201"/>
      <c r="Q76" s="189"/>
      <c r="R76" s="201"/>
      <c r="S76" s="189"/>
      <c r="AH76" s="222"/>
      <c r="AK76" s="99"/>
      <c r="AL76" s="168"/>
      <c r="AT76" s="221"/>
      <c r="AU76" s="221"/>
      <c r="AV76" s="220"/>
      <c r="AW76" s="220"/>
      <c r="AX76" s="220"/>
      <c r="AY76" s="220"/>
      <c r="AZ76" s="220"/>
      <c r="BA76" s="223" t="s">
        <v>168</v>
      </c>
      <c r="BB76" s="223" t="s">
        <v>178</v>
      </c>
      <c r="BC76" s="220"/>
      <c r="BD76" s="220"/>
      <c r="BE76" s="220"/>
      <c r="BF76" s="220"/>
      <c r="BG76" s="220"/>
      <c r="BH76" s="220"/>
      <c r="BI76" s="220"/>
      <c r="BJ76" s="221"/>
      <c r="BK76" s="221"/>
      <c r="BL76" s="221"/>
      <c r="BM76" s="221"/>
      <c r="BN76" s="221"/>
      <c r="BO76" s="221"/>
      <c r="BP76" s="221"/>
      <c r="BQ76" s="224" t="s">
        <v>1632</v>
      </c>
      <c r="BR76" s="225"/>
      <c r="BS76" s="221"/>
    </row>
    <row r="77" spans="2:71" x14ac:dyDescent="0.3">
      <c r="B77" s="189"/>
      <c r="C77" s="190"/>
      <c r="D77" s="189"/>
      <c r="E77" s="189"/>
      <c r="F77" s="191"/>
      <c r="G77" s="97"/>
      <c r="H77" s="190"/>
      <c r="I77" s="189"/>
      <c r="J77" s="189"/>
      <c r="K77" s="190"/>
      <c r="L77" s="189"/>
      <c r="M77" s="201"/>
      <c r="N77" s="189"/>
      <c r="O77" s="189"/>
      <c r="P77" s="201"/>
      <c r="Q77" s="189"/>
      <c r="R77" s="201"/>
      <c r="S77" s="189"/>
      <c r="AH77" s="222"/>
      <c r="AK77" s="210"/>
      <c r="AL77" s="226"/>
      <c r="AT77" s="221"/>
      <c r="AU77" s="221"/>
      <c r="AV77" s="220"/>
      <c r="AW77" s="220"/>
      <c r="AX77" s="220"/>
      <c r="AY77" s="220"/>
      <c r="AZ77" s="227" t="s">
        <v>1692</v>
      </c>
      <c r="BA77" s="228">
        <f>((J47+C47)/2)/1.111111</f>
        <v>0</v>
      </c>
      <c r="BB77" s="228">
        <f>$O$47/1.111111</f>
        <v>0</v>
      </c>
      <c r="BC77" s="220"/>
      <c r="BD77" s="220"/>
      <c r="BE77" s="220"/>
      <c r="BF77" s="220"/>
      <c r="BG77" s="220"/>
      <c r="BH77" s="220"/>
      <c r="BI77" s="220"/>
      <c r="BJ77" s="221"/>
      <c r="BK77" s="221"/>
      <c r="BL77" s="221"/>
      <c r="BM77" s="221"/>
      <c r="BN77" s="221"/>
      <c r="BO77" s="221"/>
      <c r="BP77" s="221"/>
      <c r="BQ77" s="229" t="s">
        <v>1629</v>
      </c>
      <c r="BR77" s="230"/>
      <c r="BS77" s="221"/>
    </row>
    <row r="78" spans="2:71" x14ac:dyDescent="0.3">
      <c r="B78" s="189"/>
      <c r="C78" s="190"/>
      <c r="D78" s="189"/>
      <c r="E78" s="189"/>
      <c r="F78" s="191"/>
      <c r="G78" s="97"/>
      <c r="H78" s="190"/>
      <c r="I78" s="189"/>
      <c r="J78" s="189"/>
      <c r="K78" s="190"/>
      <c r="L78" s="189"/>
      <c r="M78" s="201"/>
      <c r="N78" s="189"/>
      <c r="O78" s="189"/>
      <c r="P78" s="201"/>
      <c r="Q78" s="189"/>
      <c r="R78" s="201"/>
      <c r="S78" s="189"/>
      <c r="AH78" s="222"/>
      <c r="AK78" s="99"/>
      <c r="AL78" s="168"/>
      <c r="AT78" s="223"/>
      <c r="AU78" s="231"/>
      <c r="AV78" s="220"/>
      <c r="AW78" s="220"/>
      <c r="AX78" s="220"/>
      <c r="AY78" s="220"/>
      <c r="AZ78" s="220"/>
      <c r="BA78" s="220" t="s">
        <v>176</v>
      </c>
      <c r="BB78" s="220" t="s">
        <v>177</v>
      </c>
      <c r="BC78" s="220"/>
      <c r="BD78" s="220"/>
      <c r="BE78" s="220"/>
      <c r="BF78" s="220"/>
      <c r="BG78" s="220"/>
      <c r="BH78" s="220"/>
      <c r="BI78" s="220"/>
      <c r="BJ78" s="221"/>
      <c r="BK78" s="221"/>
      <c r="BL78" s="221"/>
      <c r="BM78" s="221"/>
      <c r="BN78" s="221"/>
      <c r="BO78" s="221"/>
      <c r="BP78" s="221"/>
      <c r="BQ78" s="232">
        <f>ORD!$C$51</f>
        <v>0</v>
      </c>
      <c r="BR78" s="230"/>
      <c r="BS78" s="221"/>
    </row>
    <row r="79" spans="2:71" ht="16.2" thickBot="1" x14ac:dyDescent="0.35">
      <c r="B79" s="189"/>
      <c r="C79" s="190"/>
      <c r="D79" s="189"/>
      <c r="E79" s="189"/>
      <c r="F79" s="191"/>
      <c r="G79" s="97"/>
      <c r="H79" s="190"/>
      <c r="I79" s="189"/>
      <c r="J79" s="189"/>
      <c r="K79" s="190"/>
      <c r="L79" s="189"/>
      <c r="M79" s="201"/>
      <c r="N79" s="189"/>
      <c r="O79" s="189"/>
      <c r="P79" s="201"/>
      <c r="Q79" s="189"/>
      <c r="R79" s="201"/>
      <c r="S79" s="189"/>
      <c r="AH79" s="222"/>
      <c r="AK79" s="215"/>
      <c r="AL79" s="233"/>
      <c r="AT79" s="220"/>
      <c r="AU79" s="231" t="s">
        <v>179</v>
      </c>
      <c r="AV79" s="220"/>
      <c r="AW79" s="220"/>
      <c r="AX79" s="234"/>
      <c r="AY79" s="235"/>
      <c r="AZ79" s="235" t="s">
        <v>9</v>
      </c>
      <c r="BA79" s="236" t="e">
        <f>3600/$BA$77</f>
        <v>#DIV/0!</v>
      </c>
      <c r="BB79" s="236" t="e">
        <f>3600/$BB$77</f>
        <v>#DIV/0!</v>
      </c>
      <c r="BC79" s="236"/>
      <c r="BD79" s="220"/>
      <c r="BE79" s="220"/>
      <c r="BF79" s="220"/>
      <c r="BG79" s="220"/>
      <c r="BH79" s="220"/>
      <c r="BI79" s="220"/>
      <c r="BJ79" s="221"/>
      <c r="BK79" s="221"/>
      <c r="BL79" s="221"/>
      <c r="BM79" s="221"/>
      <c r="BN79" s="221"/>
      <c r="BO79" s="221"/>
      <c r="BP79" s="221"/>
      <c r="BQ79" s="229" t="s">
        <v>1627</v>
      </c>
      <c r="BR79" s="237" t="s">
        <v>1628</v>
      </c>
      <c r="BS79" s="221"/>
    </row>
    <row r="80" spans="2:71" x14ac:dyDescent="0.3">
      <c r="B80" s="189"/>
      <c r="C80" s="190"/>
      <c r="D80" s="189"/>
      <c r="E80" s="189"/>
      <c r="F80" s="191"/>
      <c r="G80" s="97"/>
      <c r="H80" s="190"/>
      <c r="I80" s="189"/>
      <c r="J80" s="189"/>
      <c r="K80" s="190"/>
      <c r="L80" s="189"/>
      <c r="M80" s="201"/>
      <c r="N80" s="189"/>
      <c r="O80" s="189"/>
      <c r="P80" s="201"/>
      <c r="Q80" s="189"/>
      <c r="R80" s="201"/>
      <c r="S80" s="189"/>
      <c r="AH80" s="222"/>
      <c r="AT80" s="223">
        <v>1</v>
      </c>
      <c r="AU80" s="231" t="e">
        <f>"da "&amp;ROUND(BA80,0)&amp;" a "&amp;ROUND(BA79,0)&amp;"  pedoni/ora"</f>
        <v>#DIV/0!</v>
      </c>
      <c r="AV80" s="220"/>
      <c r="AW80" s="220"/>
      <c r="AX80" s="220"/>
      <c r="AY80" s="220"/>
      <c r="AZ80" s="235" t="s">
        <v>16</v>
      </c>
      <c r="BA80" s="236" t="e">
        <f>BA$8/5</f>
        <v>#DIV/0!</v>
      </c>
      <c r="BB80" s="236" t="e">
        <f>BB$8/5</f>
        <v>#DIV/0!</v>
      </c>
      <c r="BC80" s="238"/>
      <c r="BD80" s="220"/>
      <c r="BE80" s="220"/>
      <c r="BF80" s="220"/>
      <c r="BG80" s="220"/>
      <c r="BH80" s="220"/>
      <c r="BI80" s="220"/>
      <c r="BJ80" s="221"/>
      <c r="BK80" s="221"/>
      <c r="BL80" s="221"/>
      <c r="BM80" s="221"/>
      <c r="BN80" s="221"/>
      <c r="BO80" s="221"/>
      <c r="BP80" s="221"/>
      <c r="BQ80" s="239" t="str">
        <f>IF(BQ78="proprietà",BQ104,IF(BQ78="occupazione",BQ114,IF(BQ78="pedoni/ciclisti",AU80,IF(BQ78="traffico 30 Km/h",AU130,IF(BQ78="traffico 50 km/h",AU122,IF(BQ78="traffico 70 Km/h",AU114,IF(BQ78="traffico 90 Km/h",AU106,IF(BQ78="traffico 110 km/h",AU98, " "))))))))</f>
        <v xml:space="preserve"> </v>
      </c>
      <c r="BR80" s="230">
        <v>1</v>
      </c>
      <c r="BS80" s="221"/>
    </row>
    <row r="81" spans="2:71" x14ac:dyDescent="0.3">
      <c r="B81" s="189"/>
      <c r="C81" s="190"/>
      <c r="D81" s="189"/>
      <c r="E81" s="189"/>
      <c r="F81" s="191"/>
      <c r="G81" s="97"/>
      <c r="H81" s="190"/>
      <c r="I81" s="189"/>
      <c r="J81" s="189"/>
      <c r="K81" s="190"/>
      <c r="L81" s="189"/>
      <c r="M81" s="201"/>
      <c r="N81" s="189"/>
      <c r="O81" s="189"/>
      <c r="P81" s="201"/>
      <c r="Q81" s="189"/>
      <c r="R81" s="201"/>
      <c r="S81" s="189"/>
      <c r="AH81" s="222"/>
      <c r="AT81" s="223">
        <v>2</v>
      </c>
      <c r="AU81" s="231" t="e">
        <f>"da "&amp;ROUND(BA82,0)&amp;" a "&amp;ROUND(BA80,0)&amp;"  pedoni/ora"</f>
        <v>#DIV/0!</v>
      </c>
      <c r="AV81" s="220"/>
      <c r="AW81" s="220"/>
      <c r="AX81" s="220"/>
      <c r="AY81" s="235"/>
      <c r="AZ81" s="235" t="s">
        <v>10</v>
      </c>
      <c r="BA81" s="236" t="e">
        <f>BA79/10</f>
        <v>#DIV/0!</v>
      </c>
      <c r="BB81" s="236" t="e">
        <f>BB79/10</f>
        <v>#DIV/0!</v>
      </c>
      <c r="BC81" s="238"/>
      <c r="BD81" s="220"/>
      <c r="BE81" s="220"/>
      <c r="BF81" s="220"/>
      <c r="BG81" s="220"/>
      <c r="BH81" s="220"/>
      <c r="BI81" s="220"/>
      <c r="BJ81" s="221"/>
      <c r="BK81" s="221"/>
      <c r="BL81" s="221"/>
      <c r="BM81" s="221"/>
      <c r="BN81" s="221"/>
      <c r="BO81" s="221"/>
      <c r="BP81" s="221"/>
      <c r="BQ81" s="239" t="str">
        <f>IF(BQ78="proprietà",BQ105,IF(BQ78="occupazione",BQ115,IF(BQ78="pedoni/ciclisti",AU81,IF(BQ78="traffico 30 Km/h",AU131,IF(BQ78="traffico 50 km/h",AU123,IF(BQ78="traffico 70 Km/h",AU115,IF(BQ78="traffico 90 Km/h",AU107,IF(BQ78="traffico 110 km/h",AU99, " "))))))))</f>
        <v xml:space="preserve"> </v>
      </c>
      <c r="BR81" s="230">
        <v>2</v>
      </c>
      <c r="BS81" s="221"/>
    </row>
    <row r="82" spans="2:71" x14ac:dyDescent="0.3">
      <c r="B82" s="189"/>
      <c r="C82" s="190"/>
      <c r="D82" s="189"/>
      <c r="E82" s="189"/>
      <c r="F82" s="191"/>
      <c r="G82" s="97"/>
      <c r="H82" s="190"/>
      <c r="I82" s="189"/>
      <c r="J82" s="189"/>
      <c r="K82" s="190"/>
      <c r="L82" s="189"/>
      <c r="M82" s="201"/>
      <c r="N82" s="189"/>
      <c r="O82" s="189"/>
      <c r="P82" s="201"/>
      <c r="Q82" s="189"/>
      <c r="R82" s="201"/>
      <c r="S82" s="189"/>
      <c r="AH82" s="222"/>
      <c r="AT82" s="223">
        <v>3</v>
      </c>
      <c r="AU82" s="231" t="e">
        <f>"da "&amp;ROUND(BA84,0)&amp;" pedoni/giorno a "&amp;ROUND(BA82,0)&amp;"  pedoni/ora"</f>
        <v>#DIV/0!</v>
      </c>
      <c r="AV82" s="220"/>
      <c r="AW82" s="220"/>
      <c r="AX82" s="220"/>
      <c r="AY82" s="220"/>
      <c r="AZ82" s="235" t="s">
        <v>17</v>
      </c>
      <c r="BA82" s="236" t="e">
        <f>BA$8/50</f>
        <v>#DIV/0!</v>
      </c>
      <c r="BB82" s="236" t="e">
        <f>BB$8/50</f>
        <v>#DIV/0!</v>
      </c>
      <c r="BC82" s="238"/>
      <c r="BD82" s="220"/>
      <c r="BE82" s="220"/>
      <c r="BF82" s="220"/>
      <c r="BG82" s="220"/>
      <c r="BH82" s="220"/>
      <c r="BI82" s="220"/>
      <c r="BJ82" s="221"/>
      <c r="BK82" s="221"/>
      <c r="BL82" s="221"/>
      <c r="BM82" s="221"/>
      <c r="BN82" s="221"/>
      <c r="BO82" s="221"/>
      <c r="BP82" s="221"/>
      <c r="BQ82" s="239" t="str">
        <f>IF(BQ78="proprietà",BQ106,IF(BQ78="occupazione",BQ116,IF(BQ78="pedoni/ciclisti",AU82,IF(BQ78="traffico 30 Km/h",AU132,IF(BQ78="traffico 50 km/h",AU124,IF(BQ78="traffico 70 Km/h",AU116,IF(BQ78="traffico 90 Km/h",AU108,IF(BQ78="traffico 110 km/h",AU100, " "))))))))</f>
        <v xml:space="preserve"> </v>
      </c>
      <c r="BR82" s="230">
        <v>3</v>
      </c>
      <c r="BS82" s="221"/>
    </row>
    <row r="83" spans="2:71" x14ac:dyDescent="0.3">
      <c r="B83" s="189"/>
      <c r="C83" s="190"/>
      <c r="D83" s="189"/>
      <c r="E83" s="189"/>
      <c r="F83" s="191"/>
      <c r="G83" s="97"/>
      <c r="H83" s="190"/>
      <c r="I83" s="189"/>
      <c r="J83" s="189"/>
      <c r="K83" s="190"/>
      <c r="L83" s="189"/>
      <c r="M83" s="201"/>
      <c r="N83" s="189"/>
      <c r="O83" s="189"/>
      <c r="P83" s="201"/>
      <c r="Q83" s="189"/>
      <c r="R83" s="201"/>
      <c r="S83" s="189"/>
      <c r="AH83" s="222"/>
      <c r="AT83" s="223">
        <v>4</v>
      </c>
      <c r="AU83" s="231" t="e">
        <f>"da "&amp;ROUND(BA86,1)&amp;" a "&amp;ROUND(BA84,1)&amp;"  pedoni/giorno"</f>
        <v>#DIV/0!</v>
      </c>
      <c r="AV83" s="220"/>
      <c r="AW83" s="220"/>
      <c r="AX83" s="220"/>
      <c r="AY83" s="235"/>
      <c r="AZ83" s="235" t="s">
        <v>11</v>
      </c>
      <c r="BA83" s="236" t="e">
        <f>BA81/10</f>
        <v>#DIV/0!</v>
      </c>
      <c r="BB83" s="236" t="e">
        <f>BB81/10</f>
        <v>#DIV/0!</v>
      </c>
      <c r="BC83" s="238"/>
      <c r="BD83" s="220"/>
      <c r="BE83" s="220"/>
      <c r="BF83" s="220"/>
      <c r="BG83" s="220"/>
      <c r="BH83" s="220"/>
      <c r="BI83" s="220"/>
      <c r="BJ83" s="221"/>
      <c r="BK83" s="221"/>
      <c r="BL83" s="221"/>
      <c r="BM83" s="221"/>
      <c r="BN83" s="221"/>
      <c r="BO83" s="221"/>
      <c r="BP83" s="221"/>
      <c r="BQ83" s="239" t="str">
        <f>IF(BQ78="proprietà",BQ107,IF(BQ78="occupazione",BQ117,IF(BQ78="pedoni/ciclisti",AU83,IF(BQ78="traffico 30 Km/h",AU133,IF(BQ78="traffico 50 km/h",AU125,IF(BQ78="traffico 70 Km/h",AU117,IF(BQ78="traffico 90 Km/h",AU109,IF(BQ78="traffico 110 km/h",AU101, " "))))))))</f>
        <v xml:space="preserve"> </v>
      </c>
      <c r="BR83" s="230">
        <v>4</v>
      </c>
      <c r="BS83" s="221"/>
    </row>
    <row r="84" spans="2:71" x14ac:dyDescent="0.3">
      <c r="B84" s="189"/>
      <c r="C84" s="190"/>
      <c r="D84" s="189"/>
      <c r="E84" s="189"/>
      <c r="F84" s="191"/>
      <c r="G84" s="97"/>
      <c r="H84" s="190"/>
      <c r="I84" s="189"/>
      <c r="J84" s="189"/>
      <c r="K84" s="190"/>
      <c r="L84" s="189"/>
      <c r="M84" s="201"/>
      <c r="N84" s="189"/>
      <c r="O84" s="189"/>
      <c r="P84" s="201"/>
      <c r="Q84" s="189"/>
      <c r="R84" s="201"/>
      <c r="S84" s="189"/>
      <c r="AH84" s="222"/>
      <c r="AT84" s="223">
        <v>5</v>
      </c>
      <c r="AU84" s="231" t="e">
        <f>"da "&amp;ROUND(BA88,1)&amp;" pedoni/settimana a "&amp;ROUND(BA86,1)&amp;"  pedoni/giorno"</f>
        <v>#DIV/0!</v>
      </c>
      <c r="AV84" s="220"/>
      <c r="AW84" s="220"/>
      <c r="AX84" s="220"/>
      <c r="AY84" s="220"/>
      <c r="AZ84" s="235" t="s">
        <v>18</v>
      </c>
      <c r="BA84" s="236" t="e">
        <f>BA$8/500*24</f>
        <v>#DIV/0!</v>
      </c>
      <c r="BB84" s="236" t="e">
        <f>BB$8/500*24</f>
        <v>#DIV/0!</v>
      </c>
      <c r="BC84" s="240"/>
      <c r="BD84" s="220"/>
      <c r="BE84" s="220"/>
      <c r="BF84" s="220"/>
      <c r="BG84" s="220"/>
      <c r="BH84" s="220"/>
      <c r="BI84" s="220"/>
      <c r="BJ84" s="221"/>
      <c r="BK84" s="221"/>
      <c r="BL84" s="221"/>
      <c r="BM84" s="221"/>
      <c r="BN84" s="221"/>
      <c r="BO84" s="221"/>
      <c r="BP84" s="221"/>
      <c r="BQ84" s="239" t="str">
        <f>IF(BQ78="proprietà",BQ108,IF(BQ78="occupazione",BQ118,IF(BQ78="pedoni/ciclisti",AU84,IF(BQ78="traffico 30 Km/h",AU134,IF(BQ78="traffico 50 km/h",AU126,IF(BQ78="traffico 70 Km/h",AU118,IF(BQ78="traffico 90 Km/h",AU110,IF(BQ78="traffico 110 km/h",AU102, " "))))))))</f>
        <v xml:space="preserve"> </v>
      </c>
      <c r="BR84" s="230">
        <v>5</v>
      </c>
      <c r="BS84" s="221"/>
    </row>
    <row r="85" spans="2:71" x14ac:dyDescent="0.3">
      <c r="B85" s="189"/>
      <c r="C85" s="190"/>
      <c r="D85" s="189"/>
      <c r="E85" s="189"/>
      <c r="F85" s="191"/>
      <c r="G85" s="97"/>
      <c r="H85" s="190"/>
      <c r="I85" s="189"/>
      <c r="J85" s="189"/>
      <c r="K85" s="190"/>
      <c r="L85" s="189"/>
      <c r="M85" s="201"/>
      <c r="N85" s="189"/>
      <c r="O85" s="189"/>
      <c r="P85" s="201"/>
      <c r="Q85" s="189"/>
      <c r="R85" s="201"/>
      <c r="S85" s="189"/>
      <c r="AH85" s="222"/>
      <c r="AT85" s="223">
        <v>6</v>
      </c>
      <c r="AU85" s="231" t="e">
        <f>"da "&amp;ROUND(BA90,1)&amp;" pedoni/anno a "&amp;ROUND(BA88,1)&amp;"  pedoni/settimana"</f>
        <v>#DIV/0!</v>
      </c>
      <c r="AV85" s="220"/>
      <c r="AW85" s="220"/>
      <c r="AX85" s="220"/>
      <c r="AY85" s="235"/>
      <c r="AZ85" s="235" t="s">
        <v>12</v>
      </c>
      <c r="BA85" s="238" t="e">
        <f>BA83/10</f>
        <v>#DIV/0!</v>
      </c>
      <c r="BB85" s="238" t="e">
        <f>BB83/10</f>
        <v>#DIV/0!</v>
      </c>
      <c r="BC85" s="240"/>
      <c r="BD85" s="220"/>
      <c r="BE85" s="220"/>
      <c r="BF85" s="220"/>
      <c r="BG85" s="220"/>
      <c r="BH85" s="220"/>
      <c r="BI85" s="220"/>
      <c r="BJ85" s="221"/>
      <c r="BK85" s="221"/>
      <c r="BL85" s="221"/>
      <c r="BM85" s="221"/>
      <c r="BN85" s="221"/>
      <c r="BO85" s="221"/>
      <c r="BP85" s="221"/>
      <c r="BQ85" s="239" t="str">
        <f>IF(BQ78="proprietà",BQ109,IF(BQ78="occupazione",BQ119,IF(BQ78="pedoni/ciclisti",AU85,IF(BQ78="traffico 30 Km/h",AU135,IF(BQ78="traffico 50 km/h",AU127,IF(BQ78="traffico 70 Km/h",AU119,IF(BQ78="traffico 90 Km/h",AU111,IF(BQ78="traffico 110 km/h",AU103, " "))))))))</f>
        <v xml:space="preserve"> </v>
      </c>
      <c r="BR85" s="230">
        <v>6</v>
      </c>
      <c r="BS85" s="221"/>
    </row>
    <row r="86" spans="2:71" x14ac:dyDescent="0.3">
      <c r="B86" s="189"/>
      <c r="C86" s="190"/>
      <c r="D86" s="189"/>
      <c r="E86" s="189"/>
      <c r="F86" s="191"/>
      <c r="G86" s="97"/>
      <c r="H86" s="190"/>
      <c r="I86" s="189"/>
      <c r="J86" s="189"/>
      <c r="K86" s="190"/>
      <c r="L86" s="189"/>
      <c r="M86" s="201"/>
      <c r="N86" s="189"/>
      <c r="O86" s="189"/>
      <c r="P86" s="201"/>
      <c r="Q86" s="189"/>
      <c r="R86" s="201"/>
      <c r="S86" s="189"/>
      <c r="AH86" s="222"/>
      <c r="AT86" s="223">
        <v>7</v>
      </c>
      <c r="AU86" s="231" t="e">
        <f>"da "&amp;ROUND(BA91,1)&amp;"  a "&amp;ROUND(BA90,1)&amp;"  pedoni/anno"</f>
        <v>#DIV/0!</v>
      </c>
      <c r="AV86" s="220"/>
      <c r="AW86" s="220"/>
      <c r="AX86" s="220"/>
      <c r="AY86" s="220"/>
      <c r="AZ86" s="235" t="s">
        <v>19</v>
      </c>
      <c r="BA86" s="238" t="e">
        <f>BA$8/5000*24</f>
        <v>#DIV/0!</v>
      </c>
      <c r="BB86" s="238" t="e">
        <f>BB$8/5000*24</f>
        <v>#DIV/0!</v>
      </c>
      <c r="BC86" s="240"/>
      <c r="BD86" s="220"/>
      <c r="BE86" s="220"/>
      <c r="BF86" s="220"/>
      <c r="BG86" s="220"/>
      <c r="BH86" s="220"/>
      <c r="BI86" s="220"/>
      <c r="BJ86" s="221"/>
      <c r="BK86" s="221"/>
      <c r="BL86" s="221"/>
      <c r="BM86" s="221"/>
      <c r="BN86" s="221"/>
      <c r="BO86" s="221"/>
      <c r="BP86" s="221"/>
      <c r="BQ86" s="241" t="str">
        <f>IF(BQ78="proprietà",BQ110,IF(BQ78="occupazione",BQ120,IF(BQ78="pedoni/ciclisti",AU86,IF(BQ78="traffico 30 Km/h",AU136,IF(BQ78="traffico 50 km/h",AU128,IF(BQ78="traffico 70 Km/h",AU120,IF(BQ78="traffico 90 Km/h",AU112,IF(BQ78="traffico 110 km/h",AU104, " "))))))))</f>
        <v xml:space="preserve"> </v>
      </c>
      <c r="BR86" s="242">
        <v>7</v>
      </c>
      <c r="BS86" s="221"/>
    </row>
    <row r="87" spans="2:71" x14ac:dyDescent="0.3">
      <c r="B87" s="189"/>
      <c r="C87" s="190"/>
      <c r="D87" s="189"/>
      <c r="E87" s="189"/>
      <c r="F87" s="191"/>
      <c r="G87" s="97"/>
      <c r="H87" s="190"/>
      <c r="I87" s="189"/>
      <c r="J87" s="189"/>
      <c r="K87" s="190"/>
      <c r="L87" s="189"/>
      <c r="M87" s="201"/>
      <c r="N87" s="189"/>
      <c r="O87" s="189"/>
      <c r="P87" s="201"/>
      <c r="Q87" s="189"/>
      <c r="R87" s="201"/>
      <c r="S87" s="189"/>
      <c r="AH87" s="222"/>
      <c r="AT87" s="223"/>
      <c r="AU87" s="231"/>
      <c r="AV87" s="220"/>
      <c r="AW87" s="220"/>
      <c r="AX87" s="220"/>
      <c r="AY87" s="235"/>
      <c r="AZ87" s="235" t="s">
        <v>13</v>
      </c>
      <c r="BA87" s="238" t="e">
        <f>BA85/10</f>
        <v>#DIV/0!</v>
      </c>
      <c r="BB87" s="238" t="e">
        <f>BB85/10</f>
        <v>#DIV/0!</v>
      </c>
      <c r="BC87" s="240"/>
      <c r="BD87" s="220"/>
      <c r="BE87" s="220"/>
      <c r="BF87" s="220"/>
      <c r="BG87" s="220"/>
      <c r="BH87" s="220"/>
      <c r="BI87" s="220"/>
      <c r="BJ87" s="221"/>
      <c r="BK87" s="221"/>
      <c r="BL87" s="221"/>
      <c r="BM87" s="221"/>
      <c r="BN87" s="221"/>
      <c r="BO87" s="221"/>
      <c r="BP87" s="221"/>
      <c r="BQ87" s="221"/>
      <c r="BR87" s="221"/>
      <c r="BS87" s="221"/>
    </row>
    <row r="88" spans="2:71" x14ac:dyDescent="0.3">
      <c r="B88" s="189"/>
      <c r="C88" s="190"/>
      <c r="D88" s="189"/>
      <c r="E88" s="189"/>
      <c r="F88" s="191"/>
      <c r="G88" s="97"/>
      <c r="H88" s="190"/>
      <c r="I88" s="189"/>
      <c r="J88" s="189"/>
      <c r="K88" s="190"/>
      <c r="L88" s="189"/>
      <c r="M88" s="201"/>
      <c r="N88" s="189"/>
      <c r="O88" s="189"/>
      <c r="P88" s="201"/>
      <c r="Q88" s="189"/>
      <c r="R88" s="201"/>
      <c r="S88" s="189"/>
      <c r="AH88" s="222"/>
      <c r="AT88" s="220"/>
      <c r="AU88" s="231" t="s">
        <v>180</v>
      </c>
      <c r="AV88" s="220"/>
      <c r="AW88" s="220"/>
      <c r="AX88" s="220"/>
      <c r="AY88" s="220"/>
      <c r="AZ88" s="235" t="s">
        <v>20</v>
      </c>
      <c r="BA88" s="238" t="e">
        <f>BA$8/50000*24*7</f>
        <v>#DIV/0!</v>
      </c>
      <c r="BB88" s="238" t="e">
        <f>BB$8/50000*24*7</f>
        <v>#DIV/0!</v>
      </c>
      <c r="BC88" s="243"/>
      <c r="BD88" s="220"/>
      <c r="BE88" s="220"/>
      <c r="BF88" s="220"/>
      <c r="BG88" s="220"/>
      <c r="BH88" s="220"/>
      <c r="BI88" s="220"/>
      <c r="BJ88" s="221"/>
      <c r="BK88" s="221"/>
      <c r="BL88" s="221"/>
      <c r="BM88" s="221"/>
      <c r="BN88" s="221"/>
      <c r="BO88" s="221"/>
      <c r="BP88" s="221"/>
      <c r="BQ88" s="221"/>
      <c r="BR88" s="244"/>
      <c r="BS88" s="221"/>
    </row>
    <row r="89" spans="2:71" x14ac:dyDescent="0.3">
      <c r="B89" s="189"/>
      <c r="C89" s="190"/>
      <c r="D89" s="189"/>
      <c r="E89" s="189"/>
      <c r="F89" s="191"/>
      <c r="G89" s="97"/>
      <c r="H89" s="190"/>
      <c r="I89" s="189"/>
      <c r="J89" s="189"/>
      <c r="K89" s="190"/>
      <c r="L89" s="189"/>
      <c r="M89" s="201"/>
      <c r="N89" s="189"/>
      <c r="O89" s="189"/>
      <c r="P89" s="201"/>
      <c r="Q89" s="189"/>
      <c r="R89" s="201"/>
      <c r="S89" s="189"/>
      <c r="AH89" s="222"/>
      <c r="AT89" s="223">
        <v>1</v>
      </c>
      <c r="AU89" s="231" t="e">
        <f>"da "&amp;ROUND(BB80,0)&amp;" a "&amp;ROUND(BB79,0)&amp;"  pedoni/ora"</f>
        <v>#DIV/0!</v>
      </c>
      <c r="AV89" s="220"/>
      <c r="AW89" s="220"/>
      <c r="AX89" s="220"/>
      <c r="AY89" s="235"/>
      <c r="AZ89" s="235" t="s">
        <v>14</v>
      </c>
      <c r="BA89" s="238" t="e">
        <f>BA87/10</f>
        <v>#DIV/0!</v>
      </c>
      <c r="BB89" s="238" t="e">
        <f>BB87/10</f>
        <v>#DIV/0!</v>
      </c>
      <c r="BC89" s="243"/>
      <c r="BD89" s="220"/>
      <c r="BE89" s="220"/>
      <c r="BF89" s="220"/>
      <c r="BG89" s="220"/>
      <c r="BH89" s="220"/>
      <c r="BI89" s="220"/>
      <c r="BJ89" s="221"/>
      <c r="BK89" s="221"/>
      <c r="BL89" s="221"/>
      <c r="BM89" s="221"/>
      <c r="BN89" s="221"/>
      <c r="BO89" s="221"/>
      <c r="BP89" s="221"/>
      <c r="BQ89" s="224" t="s">
        <v>1633</v>
      </c>
      <c r="BR89" s="225"/>
      <c r="BS89" s="221"/>
    </row>
    <row r="90" spans="2:71" x14ac:dyDescent="0.3">
      <c r="B90" s="189"/>
      <c r="C90" s="190"/>
      <c r="D90" s="189"/>
      <c r="E90" s="189"/>
      <c r="F90" s="191"/>
      <c r="G90" s="97"/>
      <c r="H90" s="190"/>
      <c r="I90" s="189"/>
      <c r="J90" s="189"/>
      <c r="K90" s="190"/>
      <c r="L90" s="189"/>
      <c r="M90" s="201"/>
      <c r="N90" s="189"/>
      <c r="O90" s="189"/>
      <c r="P90" s="201"/>
      <c r="Q90" s="189"/>
      <c r="R90" s="201"/>
      <c r="S90" s="189"/>
      <c r="AH90" s="222"/>
      <c r="AT90" s="223">
        <v>2</v>
      </c>
      <c r="AU90" s="231" t="e">
        <f>"da "&amp;ROUND(BB82,0)&amp;" a "&amp;ROUND(BB80,0)&amp;"  pedoni/ora"</f>
        <v>#DIV/0!</v>
      </c>
      <c r="AV90" s="220"/>
      <c r="AW90" s="220"/>
      <c r="AX90" s="220"/>
      <c r="AY90" s="220"/>
      <c r="AZ90" s="235" t="s">
        <v>21</v>
      </c>
      <c r="BA90" s="238" t="e">
        <f>BA$8/500000*24*365</f>
        <v>#DIV/0!</v>
      </c>
      <c r="BB90" s="238" t="e">
        <f>BB$8/500000*24*365</f>
        <v>#DIV/0!</v>
      </c>
      <c r="BC90" s="243"/>
      <c r="BD90" s="220"/>
      <c r="BE90" s="220"/>
      <c r="BF90" s="220"/>
      <c r="BG90" s="220"/>
      <c r="BH90" s="220"/>
      <c r="BI90" s="220"/>
      <c r="BJ90" s="221"/>
      <c r="BK90" s="221"/>
      <c r="BL90" s="221"/>
      <c r="BM90" s="221"/>
      <c r="BN90" s="221"/>
      <c r="BO90" s="221"/>
      <c r="BP90" s="221"/>
      <c r="BQ90" s="229" t="s">
        <v>1629</v>
      </c>
      <c r="BR90" s="230"/>
      <c r="BS90" s="221"/>
    </row>
    <row r="91" spans="2:71" x14ac:dyDescent="0.3">
      <c r="B91" s="189"/>
      <c r="C91" s="190"/>
      <c r="D91" s="189"/>
      <c r="E91" s="189"/>
      <c r="F91" s="191"/>
      <c r="G91" s="97"/>
      <c r="H91" s="190"/>
      <c r="I91" s="189"/>
      <c r="J91" s="189"/>
      <c r="K91" s="190"/>
      <c r="L91" s="189"/>
      <c r="M91" s="201"/>
      <c r="N91" s="189"/>
      <c r="O91" s="189"/>
      <c r="P91" s="201"/>
      <c r="Q91" s="189"/>
      <c r="R91" s="201"/>
      <c r="S91" s="189"/>
      <c r="AH91" s="222"/>
      <c r="AT91" s="223">
        <v>3</v>
      </c>
      <c r="AU91" s="231" t="e">
        <f>"da "&amp;ROUND(BB84,0)&amp;" pedoni/giorno a "&amp;ROUND(BB82,0)&amp;"  pedoni/ora"</f>
        <v>#DIV/0!</v>
      </c>
      <c r="AV91" s="220"/>
      <c r="AW91" s="220"/>
      <c r="AX91" s="220"/>
      <c r="AY91" s="235"/>
      <c r="AZ91" s="235" t="s">
        <v>15</v>
      </c>
      <c r="BA91" s="238" t="e">
        <f>BA89/10*24*365</f>
        <v>#DIV/0!</v>
      </c>
      <c r="BB91" s="238" t="e">
        <f>BB89/10*24*365</f>
        <v>#DIV/0!</v>
      </c>
      <c r="BC91" s="243"/>
      <c r="BD91" s="220"/>
      <c r="BE91" s="220"/>
      <c r="BF91" s="220"/>
      <c r="BG91" s="220"/>
      <c r="BH91" s="220"/>
      <c r="BI91" s="220"/>
      <c r="BJ91" s="221"/>
      <c r="BK91" s="221"/>
      <c r="BL91" s="221"/>
      <c r="BM91" s="221"/>
      <c r="BN91" s="221"/>
      <c r="BO91" s="221"/>
      <c r="BP91" s="221"/>
      <c r="BQ91" s="232">
        <f>ORD!$N$51</f>
        <v>0</v>
      </c>
      <c r="BR91" s="230"/>
      <c r="BS91" s="221"/>
    </row>
    <row r="92" spans="2:71" x14ac:dyDescent="0.3">
      <c r="B92" s="189"/>
      <c r="C92" s="190"/>
      <c r="D92" s="189"/>
      <c r="E92" s="189"/>
      <c r="F92" s="191"/>
      <c r="G92" s="97"/>
      <c r="H92" s="190"/>
      <c r="I92" s="189"/>
      <c r="J92" s="189"/>
      <c r="K92" s="190"/>
      <c r="L92" s="189"/>
      <c r="M92" s="201"/>
      <c r="N92" s="189"/>
      <c r="O92" s="189"/>
      <c r="P92" s="201"/>
      <c r="Q92" s="189"/>
      <c r="R92" s="201"/>
      <c r="S92" s="189"/>
      <c r="AH92" s="222"/>
      <c r="AT92" s="223">
        <v>4</v>
      </c>
      <c r="AU92" s="231" t="e">
        <f>"da "&amp;ROUND(BB86,1)&amp;" a "&amp;ROUND(BB84,1)&amp;"  pedoni/giorno"</f>
        <v>#DIV/0!</v>
      </c>
      <c r="AV92" s="220"/>
      <c r="AW92" s="220"/>
      <c r="AX92" s="220"/>
      <c r="AY92" s="220"/>
      <c r="AZ92" s="221"/>
      <c r="BA92" s="221"/>
      <c r="BB92" s="221"/>
      <c r="BC92" s="220"/>
      <c r="BD92" s="220"/>
      <c r="BE92" s="220"/>
      <c r="BF92" s="220"/>
      <c r="BG92" s="220"/>
      <c r="BH92" s="220"/>
      <c r="BI92" s="220"/>
      <c r="BJ92" s="221"/>
      <c r="BK92" s="221"/>
      <c r="BL92" s="221"/>
      <c r="BM92" s="221"/>
      <c r="BN92" s="221"/>
      <c r="BO92" s="221"/>
      <c r="BP92" s="221"/>
      <c r="BQ92" s="229" t="s">
        <v>1627</v>
      </c>
      <c r="BR92" s="237" t="s">
        <v>1628</v>
      </c>
      <c r="BS92" s="221"/>
    </row>
    <row r="93" spans="2:71" x14ac:dyDescent="0.3">
      <c r="B93" s="189"/>
      <c r="C93" s="190"/>
      <c r="D93" s="189"/>
      <c r="E93" s="189"/>
      <c r="F93" s="191"/>
      <c r="G93" s="97"/>
      <c r="H93" s="190"/>
      <c r="I93" s="189"/>
      <c r="J93" s="189"/>
      <c r="K93" s="190"/>
      <c r="L93" s="189"/>
      <c r="M93" s="201"/>
      <c r="N93" s="189"/>
      <c r="O93" s="189"/>
      <c r="P93" s="201"/>
      <c r="Q93" s="189"/>
      <c r="R93" s="201"/>
      <c r="S93" s="189"/>
      <c r="AH93" s="222"/>
      <c r="AT93" s="223">
        <v>5</v>
      </c>
      <c r="AU93" s="231" t="e">
        <f>"da "&amp;ROUND(BB88,1)&amp;" pedoni/settimana a "&amp;ROUND(BB86,1)&amp;"  pedoni/giorno"</f>
        <v>#DIV/0!</v>
      </c>
      <c r="AV93" s="220"/>
      <c r="AW93" s="220"/>
      <c r="AX93" s="220"/>
      <c r="AY93" s="220"/>
      <c r="AZ93" s="220"/>
      <c r="BA93" s="245"/>
      <c r="BB93" s="245"/>
      <c r="BC93" s="220"/>
      <c r="BD93" s="220"/>
      <c r="BE93" s="220"/>
      <c r="BF93" s="220"/>
      <c r="BG93" s="220"/>
      <c r="BH93" s="220"/>
      <c r="BI93" s="220"/>
      <c r="BJ93" s="221"/>
      <c r="BK93" s="221"/>
      <c r="BL93" s="221"/>
      <c r="BM93" s="221"/>
      <c r="BN93" s="221"/>
      <c r="BO93" s="221"/>
      <c r="BP93" s="221"/>
      <c r="BQ93" s="239" t="str">
        <f>IF(BQ91="proprietà",BQ104,IF(BQ91="occupazione",BQ114,IF(BQ91="pedoni/ciclisti",AU89,IF(BQ91="traffico 30 Km/h",AY130,IF(BQ91="traffico 50 km/h",AY122,IF(BQ91="traffico 70 Km/h",AY114,IF(BQ91="traffico 90 Km/h",AY106,IF(BQ91="traffico 110 km/h",AY98, " "))))))))</f>
        <v xml:space="preserve"> </v>
      </c>
      <c r="BR93" s="230">
        <v>1</v>
      </c>
      <c r="BS93" s="221"/>
    </row>
    <row r="94" spans="2:71" ht="16.2" thickBot="1" x14ac:dyDescent="0.35">
      <c r="B94" s="189"/>
      <c r="C94" s="190"/>
      <c r="D94" s="189"/>
      <c r="E94" s="189"/>
      <c r="F94" s="191"/>
      <c r="G94" s="97"/>
      <c r="H94" s="190"/>
      <c r="I94" s="189"/>
      <c r="J94" s="189"/>
      <c r="K94" s="190"/>
      <c r="L94" s="189"/>
      <c r="M94" s="201"/>
      <c r="N94" s="189"/>
      <c r="O94" s="189"/>
      <c r="P94" s="201"/>
      <c r="Q94" s="189"/>
      <c r="R94" s="201"/>
      <c r="S94" s="189"/>
      <c r="AH94" s="222"/>
      <c r="AT94" s="223">
        <v>6</v>
      </c>
      <c r="AU94" s="231" t="e">
        <f>"da "&amp;ROUND(BB90,1)&amp;" pedoni/anno a "&amp;ROUND(BB88,1)&amp;"  pedoni/settimana"</f>
        <v>#DIV/0!</v>
      </c>
      <c r="AV94" s="220"/>
      <c r="AW94" s="220"/>
      <c r="AX94" s="220"/>
      <c r="AY94" s="220"/>
      <c r="AZ94" s="220"/>
      <c r="BA94" s="220"/>
      <c r="BB94" s="220"/>
      <c r="BC94" s="220"/>
      <c r="BD94" s="220"/>
      <c r="BE94" s="220"/>
      <c r="BF94" s="220"/>
      <c r="BG94" s="220"/>
      <c r="BH94" s="220"/>
      <c r="BI94" s="220"/>
      <c r="BJ94" s="221"/>
      <c r="BK94" s="221"/>
      <c r="BL94" s="221"/>
      <c r="BM94" s="221"/>
      <c r="BN94" s="221"/>
      <c r="BO94" s="221"/>
      <c r="BP94" s="221"/>
      <c r="BQ94" s="239" t="str">
        <f>IF(BQ91="proprietà",BQ105,IF(BQ91="occupazione",BQ115,IF(BQ91="pedoni/ciclisti",AU90,IF(BQ91="traffico 30 Km/h",AY131,IF(BQ91="traffico 50 km/h",AY123,IF(BQ91="traffico 70 Km/h",AY115,IF(BQ91="traffico 90 Km/h",AY107,IF(BQ91="traffico 110 km/h",AY99, " "))))))))</f>
        <v xml:space="preserve"> </v>
      </c>
      <c r="BR94" s="230">
        <v>2</v>
      </c>
      <c r="BS94" s="221"/>
    </row>
    <row r="95" spans="2:71" ht="16.2" thickBot="1" x14ac:dyDescent="0.35">
      <c r="B95" s="189"/>
      <c r="C95" s="190"/>
      <c r="D95" s="189"/>
      <c r="E95" s="189"/>
      <c r="F95" s="191"/>
      <c r="G95" s="97"/>
      <c r="H95" s="190"/>
      <c r="I95" s="189"/>
      <c r="J95" s="189"/>
      <c r="K95" s="190"/>
      <c r="L95" s="189"/>
      <c r="M95" s="201"/>
      <c r="N95" s="189"/>
      <c r="O95" s="189"/>
      <c r="P95" s="201"/>
      <c r="Q95" s="189"/>
      <c r="R95" s="201"/>
      <c r="S95" s="189"/>
      <c r="AH95" s="222"/>
      <c r="AT95" s="223">
        <v>7</v>
      </c>
      <c r="AU95" s="231" t="e">
        <f>"da "&amp;ROUND(BB91,1)&amp;" a "&amp;ROUND(BB90,1)&amp;"  pedoni/anno"</f>
        <v>#DIV/0!</v>
      </c>
      <c r="AV95" s="220"/>
      <c r="AW95" s="220"/>
      <c r="AX95" s="220"/>
      <c r="AY95" s="220"/>
      <c r="AZ95" s="220"/>
      <c r="BA95" s="220"/>
      <c r="BB95" s="246"/>
      <c r="BC95" s="247" t="s">
        <v>1663</v>
      </c>
      <c r="BD95" s="248">
        <v>1.3</v>
      </c>
      <c r="BE95" s="220"/>
      <c r="BF95" s="220"/>
      <c r="BG95" s="220"/>
      <c r="BH95" s="220"/>
      <c r="BI95" s="220"/>
      <c r="BJ95" s="221"/>
      <c r="BK95" s="221"/>
      <c r="BL95" s="221"/>
      <c r="BM95" s="221"/>
      <c r="BN95" s="221"/>
      <c r="BO95" s="221"/>
      <c r="BP95" s="221"/>
      <c r="BQ95" s="239" t="str">
        <f>IF(BQ91="proprietà",BQ106,IF(BQ91="occupazione",BQ116,IF(BQ91="pedoni/ciclisti",AU91,IF(BQ91="traffico 30 Km/h",AY132,IF(BQ91="traffico 50 km/h",AY124,IF(BQ91="traffico 70 Km/h",AY116,IF(BQ91="traffico 90 Km/h",AY108,IF(BQ91="traffico 110 km/h",AY100, " "))))))))</f>
        <v xml:space="preserve"> </v>
      </c>
      <c r="BR95" s="230">
        <v>3</v>
      </c>
      <c r="BS95" s="221"/>
    </row>
    <row r="96" spans="2:71" x14ac:dyDescent="0.3">
      <c r="B96" s="189"/>
      <c r="C96" s="190"/>
      <c r="D96" s="189"/>
      <c r="E96" s="189"/>
      <c r="F96" s="191"/>
      <c r="G96" s="97"/>
      <c r="H96" s="190"/>
      <c r="I96" s="189"/>
      <c r="J96" s="189"/>
      <c r="K96" s="190"/>
      <c r="L96" s="189"/>
      <c r="M96" s="201"/>
      <c r="N96" s="189"/>
      <c r="O96" s="189"/>
      <c r="P96" s="201"/>
      <c r="Q96" s="189"/>
      <c r="R96" s="201"/>
      <c r="S96" s="189"/>
      <c r="AH96" s="222"/>
      <c r="AT96" s="223"/>
      <c r="AU96" s="231"/>
      <c r="AV96" s="220"/>
      <c r="AW96" s="220"/>
      <c r="AX96" s="220"/>
      <c r="AY96" s="220"/>
      <c r="AZ96" s="220"/>
      <c r="BA96" s="220"/>
      <c r="BB96" s="220"/>
      <c r="BC96" s="227" t="s">
        <v>184</v>
      </c>
      <c r="BD96" s="223">
        <v>30</v>
      </c>
      <c r="BE96" s="223">
        <v>50</v>
      </c>
      <c r="BF96" s="223">
        <v>70</v>
      </c>
      <c r="BG96" s="223">
        <v>90</v>
      </c>
      <c r="BH96" s="223">
        <v>110</v>
      </c>
      <c r="BI96" s="223">
        <v>60</v>
      </c>
      <c r="BJ96" s="221"/>
      <c r="BK96" s="221"/>
      <c r="BL96" s="221"/>
      <c r="BM96" s="221"/>
      <c r="BN96" s="221"/>
      <c r="BO96" s="221"/>
      <c r="BP96" s="221"/>
      <c r="BQ96" s="239" t="str">
        <f>IF(BQ91="proprietà",BQ107,IF(BQ91="occupazione",BQ117,IF(BQ91="pedoni/ciclisti",AU92,IF(BQ91="traffico 30 Km/h",AY133,IF(BQ91="traffico 50 km/h",AY125,IF(BQ91="traffico 70 Km/h",AY117,IF(BQ91="traffico 90 Km/h",AY109,IF(BQ91="traffico 110 km/h",AY101, " "))))))))</f>
        <v xml:space="preserve"> </v>
      </c>
      <c r="BR96" s="230">
        <v>4</v>
      </c>
      <c r="BS96" s="221"/>
    </row>
    <row r="97" spans="2:71" x14ac:dyDescent="0.3">
      <c r="B97" s="189"/>
      <c r="C97" s="190"/>
      <c r="D97" s="189"/>
      <c r="E97" s="189"/>
      <c r="F97" s="191"/>
      <c r="G97" s="97"/>
      <c r="H97" s="190"/>
      <c r="I97" s="189"/>
      <c r="J97" s="189"/>
      <c r="K97" s="190"/>
      <c r="L97" s="189"/>
      <c r="M97" s="201"/>
      <c r="N97" s="189"/>
      <c r="O97" s="189"/>
      <c r="P97" s="201"/>
      <c r="Q97" s="189"/>
      <c r="R97" s="201"/>
      <c r="S97" s="189"/>
      <c r="AH97" s="222"/>
      <c r="AT97" s="223"/>
      <c r="AU97" s="223" t="s">
        <v>336</v>
      </c>
      <c r="AV97" s="220"/>
      <c r="AW97" s="220"/>
      <c r="AX97" s="223"/>
      <c r="AY97" s="223" t="s">
        <v>337</v>
      </c>
      <c r="AZ97" s="223"/>
      <c r="BA97" s="220"/>
      <c r="BB97" s="220"/>
      <c r="BC97" s="227" t="s">
        <v>185</v>
      </c>
      <c r="BD97" s="249">
        <f t="shared" ref="BD97:BI97" si="58">BD96*1000/3600</f>
        <v>8.3333333333333339</v>
      </c>
      <c r="BE97" s="249">
        <f t="shared" si="58"/>
        <v>13.888888888888889</v>
      </c>
      <c r="BF97" s="249">
        <f t="shared" si="58"/>
        <v>19.444444444444443</v>
      </c>
      <c r="BG97" s="249">
        <f t="shared" si="58"/>
        <v>25</v>
      </c>
      <c r="BH97" s="249">
        <f t="shared" si="58"/>
        <v>30.555555555555557</v>
      </c>
      <c r="BI97" s="249">
        <f t="shared" si="58"/>
        <v>16.666666666666668</v>
      </c>
      <c r="BJ97" s="221"/>
      <c r="BK97" s="221"/>
      <c r="BL97" s="221"/>
      <c r="BM97" s="221"/>
      <c r="BN97" s="221"/>
      <c r="BO97" s="221"/>
      <c r="BP97" s="221"/>
      <c r="BQ97" s="239" t="str">
        <f>IF(BQ91="proprietà",BQ108,IF(BQ91="occupazione",BQ118,IF(BQ91="pedoni/ciclisti",AU93,IF(BQ91="traffico 30 Km/h",AY134,IF(BQ91="traffico 50 km/h",AY126,IF(BQ91="traffico 70 Km/h",AY118,IF(BQ91="traffico 90 Km/h",AY110,IF(BQ91="traffico 110 km/h",AY102, " "))))))))</f>
        <v xml:space="preserve"> </v>
      </c>
      <c r="BR97" s="230">
        <v>5</v>
      </c>
      <c r="BS97" s="221"/>
    </row>
    <row r="98" spans="2:71" x14ac:dyDescent="0.3">
      <c r="B98" s="189"/>
      <c r="C98" s="190"/>
      <c r="D98" s="189"/>
      <c r="E98" s="189"/>
      <c r="F98" s="191"/>
      <c r="G98" s="97"/>
      <c r="H98" s="190"/>
      <c r="I98" s="189"/>
      <c r="J98" s="189"/>
      <c r="K98" s="190"/>
      <c r="L98" s="189"/>
      <c r="M98" s="201"/>
      <c r="N98" s="189"/>
      <c r="O98" s="189"/>
      <c r="P98" s="201"/>
      <c r="Q98" s="189"/>
      <c r="R98" s="201"/>
      <c r="S98" s="189"/>
      <c r="AH98" s="222"/>
      <c r="AT98" s="223">
        <v>1</v>
      </c>
      <c r="AU98" s="231" t="e">
        <f>"da "&amp;ROUND(BH103,0)&amp;" a "&amp;ROUND(BH102,0)&amp;" auto/giorno a 110 kmh"</f>
        <v>#DIV/0!</v>
      </c>
      <c r="AV98" s="220"/>
      <c r="AW98" s="220"/>
      <c r="AX98" s="223">
        <v>1</v>
      </c>
      <c r="AY98" s="231" t="e">
        <f>"da "&amp;ROUND(BH125,0)&amp;" a "&amp;ROUND(BH124,0)&amp;" auto/giorno a 110 kmh"</f>
        <v>#DIV/0!</v>
      </c>
      <c r="AZ98" s="231"/>
      <c r="BA98" s="220"/>
      <c r="BB98" s="250"/>
      <c r="BC98" s="251" t="s">
        <v>183</v>
      </c>
      <c r="BD98" s="252">
        <f t="shared" ref="BD98:BI98" si="59">BD97^2/(2*9.8*0.5)</f>
        <v>7.0861678004535156</v>
      </c>
      <c r="BE98" s="252">
        <f t="shared" si="59"/>
        <v>19.683799445704206</v>
      </c>
      <c r="BF98" s="252">
        <f t="shared" si="59"/>
        <v>38.58024691358024</v>
      </c>
      <c r="BG98" s="252">
        <f t="shared" si="59"/>
        <v>63.775510204081627</v>
      </c>
      <c r="BH98" s="252">
        <f t="shared" si="59"/>
        <v>95.269589317208357</v>
      </c>
      <c r="BI98" s="253">
        <f t="shared" si="59"/>
        <v>28.344671201814062</v>
      </c>
      <c r="BJ98" s="221"/>
      <c r="BK98" s="221"/>
      <c r="BL98" s="221"/>
      <c r="BM98" s="221"/>
      <c r="BN98" s="221"/>
      <c r="BO98" s="221"/>
      <c r="BP98" s="221"/>
      <c r="BQ98" s="239" t="str">
        <f>IF(BQ91="proprietà",BQ109,IF(BQ91="occupazione",BQ119,IF(BQ91="pedoni/ciclisti",AU94,IF(BQ91="traffico 30 Km/h",AY135,IF(BQ91="traffico 50 km/h",AY127,IF(BQ91="traffico 70 Km/h",AY119,IF(BQ91="traffico 90 Km/h",AY111,IF(BQ91="traffico 110 km/h",AY103, " "))))))))</f>
        <v xml:space="preserve"> </v>
      </c>
      <c r="BR98" s="230">
        <v>6</v>
      </c>
      <c r="BS98" s="221"/>
    </row>
    <row r="99" spans="2:71" x14ac:dyDescent="0.3">
      <c r="B99" s="189"/>
      <c r="C99" s="190"/>
      <c r="D99" s="189"/>
      <c r="E99" s="189"/>
      <c r="F99" s="191"/>
      <c r="G99" s="97"/>
      <c r="H99" s="190"/>
      <c r="I99" s="189"/>
      <c r="J99" s="189"/>
      <c r="K99" s="190"/>
      <c r="L99" s="189"/>
      <c r="M99" s="201"/>
      <c r="N99" s="189"/>
      <c r="O99" s="189"/>
      <c r="P99" s="201"/>
      <c r="Q99" s="189"/>
      <c r="R99" s="201"/>
      <c r="S99" s="189"/>
      <c r="AH99" s="222"/>
      <c r="AT99" s="223">
        <v>2</v>
      </c>
      <c r="AU99" s="231" t="e">
        <f>"da "&amp;ROUND(BH105,0)&amp;" a "&amp;ROUND(BH103,0)&amp;" auto/giorno a 110 kmh"</f>
        <v>#DIV/0!</v>
      </c>
      <c r="AV99" s="220"/>
      <c r="AW99" s="220"/>
      <c r="AX99" s="223">
        <v>2</v>
      </c>
      <c r="AY99" s="231" t="e">
        <f>"da "&amp;ROUND(BH127,0)&amp;" a "&amp;ROUND(BH125,0)&amp;" auto/giorno a 110 kmh"</f>
        <v>#DIV/0!</v>
      </c>
      <c r="AZ99" s="231"/>
      <c r="BA99" s="220"/>
      <c r="BB99" s="254"/>
      <c r="BC99" s="255" t="s">
        <v>1694</v>
      </c>
      <c r="BD99" s="256">
        <f t="shared" ref="BD99:BI99" si="60">BD98/BD97</f>
        <v>0.85034013605442182</v>
      </c>
      <c r="BE99" s="256">
        <f t="shared" si="60"/>
        <v>1.4172335600907029</v>
      </c>
      <c r="BF99" s="256">
        <f t="shared" si="60"/>
        <v>1.984126984126984</v>
      </c>
      <c r="BG99" s="256">
        <f t="shared" si="60"/>
        <v>2.5510204081632653</v>
      </c>
      <c r="BH99" s="256">
        <f t="shared" si="60"/>
        <v>3.1179138321995459</v>
      </c>
      <c r="BI99" s="257">
        <f t="shared" si="60"/>
        <v>1.7006802721088436</v>
      </c>
      <c r="BJ99" s="221"/>
      <c r="BK99" s="221"/>
      <c r="BL99" s="221"/>
      <c r="BM99" s="221"/>
      <c r="BN99" s="221"/>
      <c r="BO99" s="221"/>
      <c r="BP99" s="221"/>
      <c r="BQ99" s="241" t="str">
        <f>IF(BQ91="proprietà",BQ110,IF(BQ91="occupazione",BQ120,IF(BQ91="pedoni/ciclisti",AU95,IF(BQ91="traffico 30 Km/h",AY136,IF(BQ91="traffico 50 km/h",AY128,IF(BQ91="traffico 70 Km/h",AY120,IF(BQ91="traffico 90 Km/h",AY112,IF(BQ91="traffico 110 km/h",AY104, " "))))))))</f>
        <v xml:space="preserve"> </v>
      </c>
      <c r="BR99" s="242">
        <v>7</v>
      </c>
      <c r="BS99" s="221"/>
    </row>
    <row r="100" spans="2:71" x14ac:dyDescent="0.3">
      <c r="B100" s="189"/>
      <c r="C100" s="190"/>
      <c r="D100" s="189"/>
      <c r="E100" s="189"/>
      <c r="F100" s="191"/>
      <c r="G100" s="97"/>
      <c r="H100" s="190"/>
      <c r="I100" s="189"/>
      <c r="J100" s="189"/>
      <c r="K100" s="190"/>
      <c r="L100" s="189"/>
      <c r="M100" s="201"/>
      <c r="N100" s="189"/>
      <c r="O100" s="189"/>
      <c r="P100" s="201"/>
      <c r="Q100" s="189"/>
      <c r="R100" s="201"/>
      <c r="S100" s="189"/>
      <c r="AH100" s="222"/>
      <c r="AT100" s="223">
        <v>3</v>
      </c>
      <c r="AU100" s="231" t="e">
        <f>"da "&amp;ROUND(BH107,0)&amp;" a "&amp;ROUND(BH105,0)&amp;" auto a 110 kmh"</f>
        <v>#DIV/0!</v>
      </c>
      <c r="AV100" s="220"/>
      <c r="AW100" s="220"/>
      <c r="AX100" s="223">
        <v>3</v>
      </c>
      <c r="AY100" s="231" t="e">
        <f>"da "&amp;ROUND(BH129,0)&amp;" a "&amp;ROUND(BH127,0)&amp;" auto/giorno a 110 kmh"</f>
        <v>#DIV/0!</v>
      </c>
      <c r="AZ100" s="231"/>
      <c r="BA100" s="220"/>
      <c r="BB100" s="220"/>
      <c r="BC100" s="227" t="s">
        <v>175</v>
      </c>
      <c r="BD100" s="223">
        <f>($J$47+$C$47)/2</f>
        <v>0</v>
      </c>
      <c r="BE100" s="223">
        <f t="shared" ref="BE100:BI100" si="61">($J$47+$C$47)/2</f>
        <v>0</v>
      </c>
      <c r="BF100" s="223">
        <f t="shared" si="61"/>
        <v>0</v>
      </c>
      <c r="BG100" s="223">
        <f t="shared" si="61"/>
        <v>0</v>
      </c>
      <c r="BH100" s="223">
        <f t="shared" si="61"/>
        <v>0</v>
      </c>
      <c r="BI100" s="223">
        <f t="shared" si="61"/>
        <v>0</v>
      </c>
      <c r="BJ100" s="221"/>
      <c r="BK100" s="221"/>
      <c r="BL100" s="221"/>
      <c r="BM100" s="221"/>
      <c r="BN100" s="221"/>
      <c r="BO100" s="221"/>
      <c r="BP100" s="221"/>
      <c r="BQ100" s="221"/>
      <c r="BR100" s="221"/>
      <c r="BS100" s="221"/>
    </row>
    <row r="101" spans="2:71" x14ac:dyDescent="0.3">
      <c r="B101" s="189"/>
      <c r="C101" s="190"/>
      <c r="D101" s="189"/>
      <c r="E101" s="189"/>
      <c r="F101" s="191"/>
      <c r="G101" s="97"/>
      <c r="H101" s="190"/>
      <c r="I101" s="189"/>
      <c r="J101" s="189"/>
      <c r="K101" s="190"/>
      <c r="L101" s="189"/>
      <c r="M101" s="201"/>
      <c r="N101" s="189"/>
      <c r="O101" s="189"/>
      <c r="P101" s="201"/>
      <c r="Q101" s="189"/>
      <c r="R101" s="201"/>
      <c r="S101" s="189"/>
      <c r="AH101" s="222"/>
      <c r="AT101" s="223">
        <v>4</v>
      </c>
      <c r="AU101" s="231" t="e">
        <f>"da "&amp;ROUND(BH109,0)&amp;" a "&amp;ROUND(BH107,0)&amp;" auto/giorno a 110 kmh"</f>
        <v>#DIV/0!</v>
      </c>
      <c r="AV101" s="220"/>
      <c r="AW101" s="220"/>
      <c r="AX101" s="223">
        <v>4</v>
      </c>
      <c r="AY101" s="231" t="e">
        <f>"da "&amp;ROUND(BH131,0)&amp;" a "&amp;ROUND(BH129,0)&amp;" auto/giorno a 110 kmh"</f>
        <v>#DIV/0!</v>
      </c>
      <c r="AZ101" s="231"/>
      <c r="BA101" s="220"/>
      <c r="BB101" s="220"/>
      <c r="BC101" s="227" t="s">
        <v>1693</v>
      </c>
      <c r="BD101" s="258">
        <f t="shared" ref="BD101:BI101" si="62">BD100/BD97</f>
        <v>0</v>
      </c>
      <c r="BE101" s="258">
        <f t="shared" si="62"/>
        <v>0</v>
      </c>
      <c r="BF101" s="258">
        <f t="shared" si="62"/>
        <v>0</v>
      </c>
      <c r="BG101" s="258">
        <f t="shared" si="62"/>
        <v>0</v>
      </c>
      <c r="BH101" s="258">
        <f t="shared" si="62"/>
        <v>0</v>
      </c>
      <c r="BI101" s="258">
        <f t="shared" si="62"/>
        <v>0</v>
      </c>
      <c r="BJ101" s="227" t="s">
        <v>184</v>
      </c>
      <c r="BK101" s="223">
        <v>30</v>
      </c>
      <c r="BL101" s="223">
        <v>50</v>
      </c>
      <c r="BM101" s="223">
        <v>70</v>
      </c>
      <c r="BN101" s="223">
        <v>90</v>
      </c>
      <c r="BO101" s="223">
        <v>110</v>
      </c>
      <c r="BP101" s="221"/>
      <c r="BQ101" s="221"/>
      <c r="BR101" s="221"/>
      <c r="BS101" s="221"/>
    </row>
    <row r="102" spans="2:71" x14ac:dyDescent="0.3">
      <c r="B102" s="189"/>
      <c r="C102" s="190"/>
      <c r="D102" s="189"/>
      <c r="E102" s="189"/>
      <c r="F102" s="191"/>
      <c r="G102" s="97"/>
      <c r="H102" s="190"/>
      <c r="I102" s="189"/>
      <c r="J102" s="189"/>
      <c r="K102" s="190"/>
      <c r="L102" s="189"/>
      <c r="M102" s="201"/>
      <c r="N102" s="189"/>
      <c r="O102" s="189"/>
      <c r="P102" s="201"/>
      <c r="Q102" s="189"/>
      <c r="R102" s="201"/>
      <c r="S102" s="189"/>
      <c r="AH102" s="222"/>
      <c r="AT102" s="223">
        <v>5</v>
      </c>
      <c r="AU102" s="231" t="e">
        <f>"da "&amp;ROUND(BH111,1)&amp;" a "&amp;ROUND(BH109,0)&amp;" auto/giorno a 110 kmh"</f>
        <v>#DIV/0!</v>
      </c>
      <c r="AV102" s="220"/>
      <c r="AW102" s="220"/>
      <c r="AX102" s="223">
        <v>5</v>
      </c>
      <c r="AY102" s="231" t="e">
        <f>"da "&amp;ROUND(BH133,1)&amp;" a "&amp;ROUND(BH131,0)&amp;" auto/giorno a 110 kmh"</f>
        <v>#DIV/0!</v>
      </c>
      <c r="AZ102" s="231"/>
      <c r="BA102" s="220"/>
      <c r="BB102" s="220"/>
      <c r="BC102" s="259" t="s">
        <v>9</v>
      </c>
      <c r="BD102" s="260" t="e">
        <f>MIN(86400/BD99,86400/BD101)/$BD$95</f>
        <v>#DIV/0!</v>
      </c>
      <c r="BE102" s="260" t="e">
        <f t="shared" ref="BE102:BI102" si="63">MIN(86400/BE99,86400/BE101)/$BD$95</f>
        <v>#DIV/0!</v>
      </c>
      <c r="BF102" s="260" t="e">
        <f t="shared" si="63"/>
        <v>#DIV/0!</v>
      </c>
      <c r="BG102" s="260" t="e">
        <f t="shared" si="63"/>
        <v>#DIV/0!</v>
      </c>
      <c r="BH102" s="260" t="e">
        <f t="shared" si="63"/>
        <v>#DIV/0!</v>
      </c>
      <c r="BI102" s="260" t="e">
        <f t="shared" si="63"/>
        <v>#DIV/0!</v>
      </c>
      <c r="BJ102" s="221"/>
      <c r="BK102" s="261" t="e">
        <f>86400/BD102</f>
        <v>#DIV/0!</v>
      </c>
      <c r="BL102" s="261" t="e">
        <f t="shared" ref="BL102:BL104" si="64">86400/BE102</f>
        <v>#DIV/0!</v>
      </c>
      <c r="BM102" s="261" t="e">
        <f t="shared" ref="BM102:BM104" si="65">86400/BF102</f>
        <v>#DIV/0!</v>
      </c>
      <c r="BN102" s="261" t="e">
        <f t="shared" ref="BN102:BN104" si="66">86400/BG102</f>
        <v>#DIV/0!</v>
      </c>
      <c r="BO102" s="261" t="e">
        <f t="shared" ref="BO102:BO104" si="67">86400/BH102</f>
        <v>#DIV/0!</v>
      </c>
      <c r="BP102" s="260" t="s">
        <v>6</v>
      </c>
      <c r="BQ102" s="221"/>
      <c r="BR102" s="221"/>
      <c r="BS102" s="221"/>
    </row>
    <row r="103" spans="2:71" x14ac:dyDescent="0.3">
      <c r="B103" s="189"/>
      <c r="C103" s="190"/>
      <c r="D103" s="189"/>
      <c r="E103" s="189"/>
      <c r="F103" s="191"/>
      <c r="G103" s="97"/>
      <c r="H103" s="190"/>
      <c r="I103" s="189"/>
      <c r="J103" s="189"/>
      <c r="K103" s="190"/>
      <c r="L103" s="189"/>
      <c r="M103" s="201"/>
      <c r="N103" s="189"/>
      <c r="O103" s="189"/>
      <c r="P103" s="201"/>
      <c r="Q103" s="189"/>
      <c r="R103" s="201"/>
      <c r="S103" s="189"/>
      <c r="AH103" s="222"/>
      <c r="AT103" s="223">
        <v>6</v>
      </c>
      <c r="AU103" s="231" t="e">
        <f>"da "&amp;ROUND(BH113,2)&amp;" a "&amp;ROUND(BH111,0)&amp;" auto/giorno a 110 kmh"</f>
        <v>#DIV/0!</v>
      </c>
      <c r="AV103" s="220"/>
      <c r="AW103" s="220"/>
      <c r="AX103" s="223">
        <v>6</v>
      </c>
      <c r="AY103" s="231" t="e">
        <f>"da "&amp;ROUND(BH135,2)&amp;" a "&amp;ROUND(BH133,0)&amp;" auto/giorno a 110 kmh"</f>
        <v>#DIV/0!</v>
      </c>
      <c r="AZ103" s="231"/>
      <c r="BA103" s="220"/>
      <c r="BB103" s="220"/>
      <c r="BC103" s="259" t="s">
        <v>16</v>
      </c>
      <c r="BD103" s="262" t="e">
        <f>BD102/5</f>
        <v>#DIV/0!</v>
      </c>
      <c r="BE103" s="262" t="e">
        <f t="shared" ref="BE103:BI103" si="68">BE102/5</f>
        <v>#DIV/0!</v>
      </c>
      <c r="BF103" s="262" t="e">
        <f t="shared" si="68"/>
        <v>#DIV/0!</v>
      </c>
      <c r="BG103" s="262" t="e">
        <f t="shared" si="68"/>
        <v>#DIV/0!</v>
      </c>
      <c r="BH103" s="262" t="e">
        <f t="shared" si="68"/>
        <v>#DIV/0!</v>
      </c>
      <c r="BI103" s="262" t="e">
        <f t="shared" si="68"/>
        <v>#DIV/0!</v>
      </c>
      <c r="BJ103" s="221"/>
      <c r="BK103" s="260" t="e">
        <f t="shared" ref="BK103:BK104" si="69">86400/BD103</f>
        <v>#DIV/0!</v>
      </c>
      <c r="BL103" s="260" t="e">
        <f t="shared" si="64"/>
        <v>#DIV/0!</v>
      </c>
      <c r="BM103" s="260" t="e">
        <f t="shared" si="65"/>
        <v>#DIV/0!</v>
      </c>
      <c r="BN103" s="260" t="e">
        <f t="shared" si="66"/>
        <v>#DIV/0!</v>
      </c>
      <c r="BO103" s="260" t="e">
        <f t="shared" si="67"/>
        <v>#DIV/0!</v>
      </c>
      <c r="BP103" s="260" t="s">
        <v>6</v>
      </c>
      <c r="BQ103" s="263" t="s">
        <v>182</v>
      </c>
      <c r="BR103" s="221"/>
      <c r="BS103" s="221"/>
    </row>
    <row r="104" spans="2:71" x14ac:dyDescent="0.3">
      <c r="B104" s="189"/>
      <c r="C104" s="190"/>
      <c r="D104" s="189"/>
      <c r="E104" s="189"/>
      <c r="F104" s="191"/>
      <c r="G104" s="97"/>
      <c r="H104" s="190"/>
      <c r="I104" s="189"/>
      <c r="J104" s="189"/>
      <c r="K104" s="190"/>
      <c r="L104" s="189"/>
      <c r="M104" s="201"/>
      <c r="N104" s="189"/>
      <c r="O104" s="189"/>
      <c r="P104" s="201"/>
      <c r="Q104" s="189"/>
      <c r="R104" s="201"/>
      <c r="S104" s="189"/>
      <c r="AH104" s="222"/>
      <c r="AS104" s="21"/>
      <c r="AT104" s="223">
        <v>7</v>
      </c>
      <c r="AU104" s="231" t="e">
        <f>"da "&amp;ROUND(BH114,2)&amp;" a "&amp;ROUND(BH113,2)&amp;" auto/giorno a 110 kmh"</f>
        <v>#DIV/0!</v>
      </c>
      <c r="AV104" s="220"/>
      <c r="AW104" s="220"/>
      <c r="AX104" s="223">
        <v>7</v>
      </c>
      <c r="AY104" s="231" t="e">
        <f>"da "&amp;ROUND(BH136,2)&amp;" a "&amp;ROUND(BH135,2)&amp;" auto/giorno a 110 kmh"</f>
        <v>#DIV/0!</v>
      </c>
      <c r="AZ104" s="231"/>
      <c r="BA104" s="220"/>
      <c r="BB104" s="220"/>
      <c r="BC104" s="259" t="s">
        <v>10</v>
      </c>
      <c r="BD104" s="262" t="e">
        <f t="shared" ref="BD104:BI104" si="70">BD102/10</f>
        <v>#DIV/0!</v>
      </c>
      <c r="BE104" s="262" t="e">
        <f t="shared" si="70"/>
        <v>#DIV/0!</v>
      </c>
      <c r="BF104" s="262" t="e">
        <f t="shared" si="70"/>
        <v>#DIV/0!</v>
      </c>
      <c r="BG104" s="262" t="e">
        <f t="shared" si="70"/>
        <v>#DIV/0!</v>
      </c>
      <c r="BH104" s="262" t="e">
        <f t="shared" si="70"/>
        <v>#DIV/0!</v>
      </c>
      <c r="BI104" s="262" t="e">
        <f t="shared" si="70"/>
        <v>#DIV/0!</v>
      </c>
      <c r="BJ104" s="221"/>
      <c r="BK104" s="260" t="e">
        <f t="shared" si="69"/>
        <v>#DIV/0!</v>
      </c>
      <c r="BL104" s="260" t="e">
        <f t="shared" si="64"/>
        <v>#DIV/0!</v>
      </c>
      <c r="BM104" s="260" t="e">
        <f t="shared" si="65"/>
        <v>#DIV/0!</v>
      </c>
      <c r="BN104" s="260" t="e">
        <f t="shared" si="66"/>
        <v>#DIV/0!</v>
      </c>
      <c r="BO104" s="260" t="e">
        <f t="shared" si="67"/>
        <v>#DIV/0!</v>
      </c>
      <c r="BP104" s="260" t="s">
        <v>6</v>
      </c>
      <c r="BQ104" s="264" t="s">
        <v>1010</v>
      </c>
      <c r="BR104" s="221"/>
      <c r="BS104" s="221"/>
    </row>
    <row r="105" spans="2:71" x14ac:dyDescent="0.3">
      <c r="B105" s="189"/>
      <c r="C105" s="190"/>
      <c r="D105" s="189"/>
      <c r="E105" s="189"/>
      <c r="F105" s="191"/>
      <c r="G105" s="97"/>
      <c r="H105" s="190"/>
      <c r="I105" s="189"/>
      <c r="J105" s="189"/>
      <c r="K105" s="190"/>
      <c r="L105" s="189"/>
      <c r="M105" s="201"/>
      <c r="N105" s="189"/>
      <c r="O105" s="189"/>
      <c r="P105" s="201"/>
      <c r="Q105" s="189"/>
      <c r="R105" s="201"/>
      <c r="S105" s="189"/>
      <c r="AH105" s="222"/>
      <c r="AS105" s="21"/>
      <c r="AT105" s="223"/>
      <c r="AU105" s="231"/>
      <c r="AV105" s="220"/>
      <c r="AW105" s="220"/>
      <c r="AX105" s="223"/>
      <c r="AY105" s="231"/>
      <c r="AZ105" s="231"/>
      <c r="BA105" s="220"/>
      <c r="BB105" s="220"/>
      <c r="BC105" s="259" t="s">
        <v>17</v>
      </c>
      <c r="BD105" s="262" t="e">
        <f>BD104/5</f>
        <v>#DIV/0!</v>
      </c>
      <c r="BE105" s="262" t="e">
        <f t="shared" ref="BE105:BI105" si="71">BE104/5</f>
        <v>#DIV/0!</v>
      </c>
      <c r="BF105" s="262" t="e">
        <f t="shared" si="71"/>
        <v>#DIV/0!</v>
      </c>
      <c r="BG105" s="262" t="e">
        <f t="shared" si="71"/>
        <v>#DIV/0!</v>
      </c>
      <c r="BH105" s="262" t="e">
        <f t="shared" si="71"/>
        <v>#DIV/0!</v>
      </c>
      <c r="BI105" s="262" t="e">
        <f t="shared" si="71"/>
        <v>#DIV/0!</v>
      </c>
      <c r="BJ105" s="221"/>
      <c r="BK105" s="260" t="e">
        <f>1440/BD105</f>
        <v>#DIV/0!</v>
      </c>
      <c r="BL105" s="260" t="e">
        <f t="shared" ref="BL105:BL108" si="72">1440/BE105</f>
        <v>#DIV/0!</v>
      </c>
      <c r="BM105" s="260" t="e">
        <f t="shared" ref="BM105:BM108" si="73">1440/BF105</f>
        <v>#DIV/0!</v>
      </c>
      <c r="BN105" s="260" t="e">
        <f t="shared" ref="BN105:BN108" si="74">1440/BG105</f>
        <v>#DIV/0!</v>
      </c>
      <c r="BO105" s="260" t="e">
        <f t="shared" ref="BO105:BO108" si="75">1440/BH105</f>
        <v>#DIV/0!</v>
      </c>
      <c r="BP105" s="260" t="s">
        <v>7</v>
      </c>
      <c r="BQ105" s="264" t="s">
        <v>1011</v>
      </c>
      <c r="BR105" s="221"/>
      <c r="BS105" s="221"/>
    </row>
    <row r="106" spans="2:71" x14ac:dyDescent="0.3">
      <c r="B106" s="189"/>
      <c r="C106" s="190"/>
      <c r="D106" s="189"/>
      <c r="E106" s="189"/>
      <c r="F106" s="191"/>
      <c r="G106" s="97"/>
      <c r="H106" s="190"/>
      <c r="I106" s="189"/>
      <c r="J106" s="189"/>
      <c r="K106" s="190"/>
      <c r="L106" s="189"/>
      <c r="M106" s="201"/>
      <c r="N106" s="189"/>
      <c r="O106" s="189"/>
      <c r="P106" s="201"/>
      <c r="Q106" s="189"/>
      <c r="R106" s="201"/>
      <c r="S106" s="189"/>
      <c r="AH106" s="222"/>
      <c r="AS106" s="21"/>
      <c r="AT106" s="223">
        <v>1</v>
      </c>
      <c r="AU106" s="231" t="e">
        <f>"da "&amp;ROUND(BG103,0)&amp;" a "&amp;ROUND(BG102,0)&amp;" auto/giorno a 90 kmh"</f>
        <v>#DIV/0!</v>
      </c>
      <c r="AV106" s="220"/>
      <c r="AW106" s="220"/>
      <c r="AX106" s="223">
        <v>1</v>
      </c>
      <c r="AY106" s="231" t="e">
        <f>"da "&amp;ROUND(BG125,0)&amp;" a "&amp;ROUND(BG124,0)&amp;" auto/giorno a 90 kmh"</f>
        <v>#DIV/0!</v>
      </c>
      <c r="AZ106" s="231"/>
      <c r="BA106" s="220"/>
      <c r="BB106" s="220"/>
      <c r="BC106" s="259" t="s">
        <v>11</v>
      </c>
      <c r="BD106" s="265" t="e">
        <f t="shared" ref="BD106:BI106" si="76">BD104/10</f>
        <v>#DIV/0!</v>
      </c>
      <c r="BE106" s="265" t="e">
        <f t="shared" si="76"/>
        <v>#DIV/0!</v>
      </c>
      <c r="BF106" s="265" t="e">
        <f t="shared" si="76"/>
        <v>#DIV/0!</v>
      </c>
      <c r="BG106" s="265" t="e">
        <f t="shared" si="76"/>
        <v>#DIV/0!</v>
      </c>
      <c r="BH106" s="265" t="e">
        <f t="shared" si="76"/>
        <v>#DIV/0!</v>
      </c>
      <c r="BI106" s="265" t="e">
        <f t="shared" si="76"/>
        <v>#DIV/0!</v>
      </c>
      <c r="BJ106" s="221"/>
      <c r="BK106" s="260" t="e">
        <f t="shared" ref="BK106:BK114" si="77">1440/BD106</f>
        <v>#DIV/0!</v>
      </c>
      <c r="BL106" s="260" t="e">
        <f t="shared" si="72"/>
        <v>#DIV/0!</v>
      </c>
      <c r="BM106" s="260" t="e">
        <f t="shared" si="73"/>
        <v>#DIV/0!</v>
      </c>
      <c r="BN106" s="260" t="e">
        <f t="shared" si="74"/>
        <v>#DIV/0!</v>
      </c>
      <c r="BO106" s="260" t="e">
        <f t="shared" si="75"/>
        <v>#DIV/0!</v>
      </c>
      <c r="BP106" s="260" t="s">
        <v>7</v>
      </c>
      <c r="BQ106" s="264" t="s">
        <v>1012</v>
      </c>
      <c r="BR106" s="221"/>
      <c r="BS106" s="221"/>
    </row>
    <row r="107" spans="2:71" x14ac:dyDescent="0.3">
      <c r="B107" s="189"/>
      <c r="C107" s="190"/>
      <c r="D107" s="189"/>
      <c r="E107" s="189"/>
      <c r="F107" s="191"/>
      <c r="G107" s="97"/>
      <c r="H107" s="190"/>
      <c r="I107" s="189"/>
      <c r="J107" s="189"/>
      <c r="K107" s="190"/>
      <c r="L107" s="189"/>
      <c r="M107" s="201"/>
      <c r="N107" s="189"/>
      <c r="O107" s="189"/>
      <c r="P107" s="201"/>
      <c r="Q107" s="189"/>
      <c r="R107" s="201"/>
      <c r="S107" s="189"/>
      <c r="AH107" s="222"/>
      <c r="AS107" s="21"/>
      <c r="AT107" s="223">
        <v>2</v>
      </c>
      <c r="AU107" s="231" t="e">
        <f>"da "&amp;ROUND(BG105,0)&amp;" a "&amp;ROUND(BG103,0)&amp;" auto/giorno a 90 kmh"</f>
        <v>#DIV/0!</v>
      </c>
      <c r="AV107" s="220"/>
      <c r="AW107" s="220"/>
      <c r="AX107" s="223">
        <v>2</v>
      </c>
      <c r="AY107" s="231" t="e">
        <f>"da "&amp;ROUND(BG127,0)&amp;" a "&amp;ROUND(BG125,0)&amp;" auto/giorno a 90 kmh"</f>
        <v>#DIV/0!</v>
      </c>
      <c r="AZ107" s="231"/>
      <c r="BA107" s="220"/>
      <c r="BB107" s="220"/>
      <c r="BC107" s="259" t="s">
        <v>18</v>
      </c>
      <c r="BD107" s="262" t="e">
        <f>BD106/5</f>
        <v>#DIV/0!</v>
      </c>
      <c r="BE107" s="262" t="e">
        <f t="shared" ref="BE107:BI107" si="78">BE106/5</f>
        <v>#DIV/0!</v>
      </c>
      <c r="BF107" s="262" t="e">
        <f t="shared" si="78"/>
        <v>#DIV/0!</v>
      </c>
      <c r="BG107" s="262" t="e">
        <f t="shared" si="78"/>
        <v>#DIV/0!</v>
      </c>
      <c r="BH107" s="262" t="e">
        <f t="shared" si="78"/>
        <v>#DIV/0!</v>
      </c>
      <c r="BI107" s="262" t="e">
        <f t="shared" si="78"/>
        <v>#DIV/0!</v>
      </c>
      <c r="BJ107" s="221"/>
      <c r="BK107" s="260" t="e">
        <f t="shared" si="77"/>
        <v>#DIV/0!</v>
      </c>
      <c r="BL107" s="260" t="e">
        <f t="shared" si="72"/>
        <v>#DIV/0!</v>
      </c>
      <c r="BM107" s="260" t="e">
        <f t="shared" si="73"/>
        <v>#DIV/0!</v>
      </c>
      <c r="BN107" s="260" t="e">
        <f t="shared" si="74"/>
        <v>#DIV/0!</v>
      </c>
      <c r="BO107" s="260" t="e">
        <f t="shared" si="75"/>
        <v>#DIV/0!</v>
      </c>
      <c r="BP107" s="260" t="s">
        <v>7</v>
      </c>
      <c r="BQ107" s="264" t="s">
        <v>1013</v>
      </c>
      <c r="BR107" s="221"/>
      <c r="BS107" s="221"/>
    </row>
    <row r="108" spans="2:71" x14ac:dyDescent="0.3">
      <c r="B108" s="189"/>
      <c r="C108" s="190"/>
      <c r="D108" s="189"/>
      <c r="E108" s="189"/>
      <c r="F108" s="191"/>
      <c r="G108" s="97"/>
      <c r="H108" s="190"/>
      <c r="I108" s="189"/>
      <c r="J108" s="189"/>
      <c r="K108" s="190"/>
      <c r="L108" s="189"/>
      <c r="M108" s="201"/>
      <c r="N108" s="189"/>
      <c r="O108" s="189"/>
      <c r="P108" s="201"/>
      <c r="Q108" s="189"/>
      <c r="R108" s="201"/>
      <c r="S108" s="189"/>
      <c r="AH108" s="222"/>
      <c r="AQ108" s="102"/>
      <c r="AS108" s="21"/>
      <c r="AT108" s="223">
        <v>3</v>
      </c>
      <c r="AU108" s="231" t="e">
        <f>"da "&amp;ROUND(BG107,0)&amp;" a "&amp;ROUND(BG105,0)&amp;" auto/giorno a 90 kmh"</f>
        <v>#DIV/0!</v>
      </c>
      <c r="AV108" s="220"/>
      <c r="AW108" s="220"/>
      <c r="AX108" s="223">
        <v>3</v>
      </c>
      <c r="AY108" s="231" t="e">
        <f>"da "&amp;ROUND(BG129,0)&amp;" a "&amp;ROUND(BG127,0)&amp;" auto/giorno a 90 kmh"</f>
        <v>#DIV/0!</v>
      </c>
      <c r="AZ108" s="231"/>
      <c r="BA108" s="220"/>
      <c r="BB108" s="220"/>
      <c r="BC108" s="259" t="s">
        <v>12</v>
      </c>
      <c r="BD108" s="266" t="e">
        <f t="shared" ref="BD108:BI108" si="79">BD106/10</f>
        <v>#DIV/0!</v>
      </c>
      <c r="BE108" s="266" t="e">
        <f t="shared" si="79"/>
        <v>#DIV/0!</v>
      </c>
      <c r="BF108" s="266" t="e">
        <f t="shared" si="79"/>
        <v>#DIV/0!</v>
      </c>
      <c r="BG108" s="266" t="e">
        <f t="shared" si="79"/>
        <v>#DIV/0!</v>
      </c>
      <c r="BH108" s="266" t="e">
        <f t="shared" si="79"/>
        <v>#DIV/0!</v>
      </c>
      <c r="BI108" s="266" t="e">
        <f t="shared" si="79"/>
        <v>#DIV/0!</v>
      </c>
      <c r="BJ108" s="221"/>
      <c r="BK108" s="260" t="e">
        <f t="shared" si="77"/>
        <v>#DIV/0!</v>
      </c>
      <c r="BL108" s="260" t="e">
        <f t="shared" si="72"/>
        <v>#DIV/0!</v>
      </c>
      <c r="BM108" s="260" t="e">
        <f t="shared" si="73"/>
        <v>#DIV/0!</v>
      </c>
      <c r="BN108" s="260" t="e">
        <f t="shared" si="74"/>
        <v>#DIV/0!</v>
      </c>
      <c r="BO108" s="260" t="e">
        <f t="shared" si="75"/>
        <v>#DIV/0!</v>
      </c>
      <c r="BP108" s="260" t="s">
        <v>7</v>
      </c>
      <c r="BQ108" s="264" t="s">
        <v>1014</v>
      </c>
      <c r="BR108" s="221"/>
      <c r="BS108" s="221"/>
    </row>
    <row r="109" spans="2:71" x14ac:dyDescent="0.3">
      <c r="B109" s="189"/>
      <c r="C109" s="190"/>
      <c r="D109" s="189"/>
      <c r="E109" s="189"/>
      <c r="F109" s="191"/>
      <c r="G109" s="97"/>
      <c r="H109" s="190"/>
      <c r="I109" s="189"/>
      <c r="J109" s="189"/>
      <c r="K109" s="190"/>
      <c r="L109" s="189"/>
      <c r="M109" s="201"/>
      <c r="N109" s="189"/>
      <c r="O109" s="189"/>
      <c r="P109" s="201"/>
      <c r="Q109" s="189"/>
      <c r="R109" s="201"/>
      <c r="S109" s="189"/>
      <c r="AH109" s="222"/>
      <c r="AQ109" s="102"/>
      <c r="AS109" s="21"/>
      <c r="AT109" s="223">
        <v>4</v>
      </c>
      <c r="AU109" s="231" t="e">
        <f>"da "&amp;ROUND(BG109,0)&amp;" a "&amp;ROUND(BG107,0)&amp;" auto/giorno a 90 kmh"</f>
        <v>#DIV/0!</v>
      </c>
      <c r="AV109" s="220"/>
      <c r="AW109" s="220"/>
      <c r="AX109" s="223">
        <v>4</v>
      </c>
      <c r="AY109" s="231" t="e">
        <f>"da "&amp;ROUND(BG131,0)&amp;" a "&amp;ROUND(BG129,0)&amp;" auto/giorno a 90 kmh"</f>
        <v>#DIV/0!</v>
      </c>
      <c r="AZ109" s="231"/>
      <c r="BA109" s="220"/>
      <c r="BB109" s="220"/>
      <c r="BC109" s="259" t="s">
        <v>19</v>
      </c>
      <c r="BD109" s="262" t="e">
        <f>BD108/5</f>
        <v>#DIV/0!</v>
      </c>
      <c r="BE109" s="262" t="e">
        <f t="shared" ref="BE109:BI109" si="80">BE108/5</f>
        <v>#DIV/0!</v>
      </c>
      <c r="BF109" s="262" t="e">
        <f t="shared" si="80"/>
        <v>#DIV/0!</v>
      </c>
      <c r="BG109" s="262" t="e">
        <f t="shared" si="80"/>
        <v>#DIV/0!</v>
      </c>
      <c r="BH109" s="262" t="e">
        <f t="shared" si="80"/>
        <v>#DIV/0!</v>
      </c>
      <c r="BI109" s="262" t="e">
        <f t="shared" si="80"/>
        <v>#DIV/0!</v>
      </c>
      <c r="BJ109" s="221"/>
      <c r="BK109" s="260" t="e">
        <f t="shared" si="77"/>
        <v>#DIV/0!</v>
      </c>
      <c r="BL109" s="261" t="e">
        <f>24/BE109</f>
        <v>#DIV/0!</v>
      </c>
      <c r="BM109" s="261" t="e">
        <f t="shared" ref="BM109:BM111" si="81">24/BF109</f>
        <v>#DIV/0!</v>
      </c>
      <c r="BN109" s="261" t="e">
        <f t="shared" ref="BN109:BN111" si="82">24/BG109</f>
        <v>#DIV/0!</v>
      </c>
      <c r="BO109" s="261" t="e">
        <f t="shared" ref="BO109:BO111" si="83">24/BH109</f>
        <v>#DIV/0!</v>
      </c>
      <c r="BP109" s="260" t="s">
        <v>1</v>
      </c>
      <c r="BQ109" s="264" t="s">
        <v>1015</v>
      </c>
      <c r="BR109" s="221"/>
      <c r="BS109" s="221"/>
    </row>
    <row r="110" spans="2:71" x14ac:dyDescent="0.3">
      <c r="B110" s="189"/>
      <c r="C110" s="190"/>
      <c r="D110" s="189"/>
      <c r="E110" s="189"/>
      <c r="F110" s="191"/>
      <c r="G110" s="97"/>
      <c r="H110" s="190"/>
      <c r="I110" s="189"/>
      <c r="J110" s="189"/>
      <c r="K110" s="190"/>
      <c r="L110" s="189"/>
      <c r="M110" s="201"/>
      <c r="N110" s="189"/>
      <c r="O110" s="189"/>
      <c r="P110" s="201"/>
      <c r="Q110" s="189"/>
      <c r="R110" s="201"/>
      <c r="S110" s="189"/>
      <c r="AH110" s="222"/>
      <c r="AS110" s="21"/>
      <c r="AT110" s="223">
        <v>5</v>
      </c>
      <c r="AU110" s="231" t="e">
        <f>"da "&amp;ROUND(BG111,1)&amp;" a "&amp;ROUND(BG109,0)&amp;" auto/giorno a 90 kmh"</f>
        <v>#DIV/0!</v>
      </c>
      <c r="AV110" s="220"/>
      <c r="AW110" s="220"/>
      <c r="AX110" s="223">
        <v>5</v>
      </c>
      <c r="AY110" s="231" t="e">
        <f>"da "&amp;ROUND(BG133,1)&amp;" a "&amp;ROUND(BG131,0)&amp;" auto/giorno a 90 kmh"</f>
        <v>#DIV/0!</v>
      </c>
      <c r="AZ110" s="231"/>
      <c r="BA110" s="220"/>
      <c r="BB110" s="220"/>
      <c r="BC110" s="259" t="s">
        <v>13</v>
      </c>
      <c r="BD110" s="266" t="e">
        <f t="shared" ref="BD110:BI110" si="84">BD108/10</f>
        <v>#DIV/0!</v>
      </c>
      <c r="BE110" s="266" t="e">
        <f t="shared" si="84"/>
        <v>#DIV/0!</v>
      </c>
      <c r="BF110" s="266" t="e">
        <f t="shared" si="84"/>
        <v>#DIV/0!</v>
      </c>
      <c r="BG110" s="266" t="e">
        <f t="shared" si="84"/>
        <v>#DIV/0!</v>
      </c>
      <c r="BH110" s="266" t="e">
        <f t="shared" si="84"/>
        <v>#DIV/0!</v>
      </c>
      <c r="BI110" s="266" t="e">
        <f t="shared" si="84"/>
        <v>#DIV/0!</v>
      </c>
      <c r="BJ110" s="221"/>
      <c r="BK110" s="260" t="e">
        <f t="shared" si="77"/>
        <v>#DIV/0!</v>
      </c>
      <c r="BL110" s="261" t="e">
        <f t="shared" ref="BL110:BL111" si="85">24/BE110</f>
        <v>#DIV/0!</v>
      </c>
      <c r="BM110" s="261" t="e">
        <f t="shared" si="81"/>
        <v>#DIV/0!</v>
      </c>
      <c r="BN110" s="261" t="e">
        <f t="shared" si="82"/>
        <v>#DIV/0!</v>
      </c>
      <c r="BO110" s="261" t="e">
        <f t="shared" si="83"/>
        <v>#DIV/0!</v>
      </c>
      <c r="BP110" s="260" t="s">
        <v>1</v>
      </c>
      <c r="BQ110" s="267" t="s">
        <v>1016</v>
      </c>
      <c r="BR110" s="221"/>
      <c r="BS110" s="221"/>
    </row>
    <row r="111" spans="2:71" x14ac:dyDescent="0.3">
      <c r="B111" s="189"/>
      <c r="C111" s="190"/>
      <c r="D111" s="189"/>
      <c r="E111" s="189"/>
      <c r="F111" s="191"/>
      <c r="G111" s="97"/>
      <c r="H111" s="190"/>
      <c r="I111" s="189"/>
      <c r="J111" s="189"/>
      <c r="K111" s="190"/>
      <c r="L111" s="189"/>
      <c r="M111" s="201"/>
      <c r="N111" s="189"/>
      <c r="O111" s="189"/>
      <c r="P111" s="201"/>
      <c r="Q111" s="189"/>
      <c r="R111" s="201"/>
      <c r="S111" s="189"/>
      <c r="AH111" s="222"/>
      <c r="AS111" s="21"/>
      <c r="AT111" s="223">
        <v>6</v>
      </c>
      <c r="AU111" s="231" t="e">
        <f>"da "&amp;ROUND(BG113,2)&amp;" a "&amp;ROUND(BG111,0)&amp;" auto/giorno a 90 kmh"</f>
        <v>#DIV/0!</v>
      </c>
      <c r="AV111" s="220"/>
      <c r="AW111" s="220"/>
      <c r="AX111" s="223">
        <v>6</v>
      </c>
      <c r="AY111" s="231" t="e">
        <f>"da "&amp;ROUND(BG135,2)&amp;" a "&amp;ROUND(BG133,0)&amp;" auto/giorno a 90 kmh"</f>
        <v>#DIV/0!</v>
      </c>
      <c r="AZ111" s="231"/>
      <c r="BA111" s="220"/>
      <c r="BB111" s="220"/>
      <c r="BC111" s="259" t="s">
        <v>20</v>
      </c>
      <c r="BD111" s="262" t="e">
        <f>BD110/5</f>
        <v>#DIV/0!</v>
      </c>
      <c r="BE111" s="262" t="e">
        <f t="shared" ref="BE111:BI111" si="86">BE110/5</f>
        <v>#DIV/0!</v>
      </c>
      <c r="BF111" s="262" t="e">
        <f t="shared" si="86"/>
        <v>#DIV/0!</v>
      </c>
      <c r="BG111" s="262" t="e">
        <f t="shared" si="86"/>
        <v>#DIV/0!</v>
      </c>
      <c r="BH111" s="262" t="e">
        <f t="shared" si="86"/>
        <v>#DIV/0!</v>
      </c>
      <c r="BI111" s="262" t="e">
        <f t="shared" si="86"/>
        <v>#DIV/0!</v>
      </c>
      <c r="BJ111" s="221"/>
      <c r="BK111" s="260" t="e">
        <f t="shared" si="77"/>
        <v>#DIV/0!</v>
      </c>
      <c r="BL111" s="260" t="e">
        <f t="shared" si="85"/>
        <v>#DIV/0!</v>
      </c>
      <c r="BM111" s="260" t="e">
        <f t="shared" si="81"/>
        <v>#DIV/0!</v>
      </c>
      <c r="BN111" s="260" t="e">
        <f t="shared" si="82"/>
        <v>#DIV/0!</v>
      </c>
      <c r="BO111" s="260" t="e">
        <f t="shared" si="83"/>
        <v>#DIV/0!</v>
      </c>
      <c r="BP111" s="260" t="s">
        <v>1</v>
      </c>
      <c r="BQ111" s="221"/>
      <c r="BR111" s="221"/>
      <c r="BS111" s="221"/>
    </row>
    <row r="112" spans="2:71" x14ac:dyDescent="0.3">
      <c r="B112" s="189"/>
      <c r="C112" s="190"/>
      <c r="D112" s="189"/>
      <c r="E112" s="189"/>
      <c r="F112" s="191"/>
      <c r="G112" s="97"/>
      <c r="H112" s="190"/>
      <c r="I112" s="189"/>
      <c r="J112" s="189"/>
      <c r="K112" s="190"/>
      <c r="L112" s="189"/>
      <c r="M112" s="201"/>
      <c r="N112" s="189"/>
      <c r="O112" s="189"/>
      <c r="P112" s="201"/>
      <c r="Q112" s="189"/>
      <c r="R112" s="201"/>
      <c r="S112" s="189"/>
      <c r="AH112" s="222"/>
      <c r="AS112" s="21"/>
      <c r="AT112" s="223">
        <v>7</v>
      </c>
      <c r="AU112" s="231" t="e">
        <f>"da "&amp;ROUND(BG114,2)&amp;" a "&amp;ROUND(BG113,2)&amp;" auto/giorno a 90 kmh"</f>
        <v>#DIV/0!</v>
      </c>
      <c r="AV112" s="220"/>
      <c r="AW112" s="220"/>
      <c r="AX112" s="223">
        <v>7</v>
      </c>
      <c r="AY112" s="231" t="e">
        <f>"da "&amp;ROUND(BG136,2)&amp;" a "&amp;ROUND(BG135,2)&amp;" auto/giorno a 90 kmh"</f>
        <v>#DIV/0!</v>
      </c>
      <c r="AZ112" s="231"/>
      <c r="BA112" s="220"/>
      <c r="BB112" s="220"/>
      <c r="BC112" s="259" t="s">
        <v>14</v>
      </c>
      <c r="BD112" s="266" t="e">
        <f t="shared" ref="BD112:BI112" si="87">BD110/10</f>
        <v>#DIV/0!</v>
      </c>
      <c r="BE112" s="266" t="e">
        <f t="shared" si="87"/>
        <v>#DIV/0!</v>
      </c>
      <c r="BF112" s="266" t="e">
        <f t="shared" si="87"/>
        <v>#DIV/0!</v>
      </c>
      <c r="BG112" s="266" t="e">
        <f t="shared" si="87"/>
        <v>#DIV/0!</v>
      </c>
      <c r="BH112" s="266" t="e">
        <f t="shared" si="87"/>
        <v>#DIV/0!</v>
      </c>
      <c r="BI112" s="266" t="e">
        <f t="shared" si="87"/>
        <v>#DIV/0!</v>
      </c>
      <c r="BJ112" s="221"/>
      <c r="BK112" s="260" t="e">
        <f t="shared" si="77"/>
        <v>#DIV/0!</v>
      </c>
      <c r="BL112" s="261" t="e">
        <f>1/BE112</f>
        <v>#DIV/0!</v>
      </c>
      <c r="BM112" s="261" t="e">
        <f t="shared" ref="BM112:BM114" si="88">1/BF112</f>
        <v>#DIV/0!</v>
      </c>
      <c r="BN112" s="261" t="e">
        <f t="shared" ref="BN112:BN114" si="89">1/BG112</f>
        <v>#DIV/0!</v>
      </c>
      <c r="BO112" s="261" t="e">
        <f t="shared" ref="BO112:BO114" si="90">1/BH112</f>
        <v>#DIV/0!</v>
      </c>
      <c r="BP112" s="260" t="s">
        <v>8</v>
      </c>
      <c r="BQ112" s="221"/>
      <c r="BR112" s="221"/>
      <c r="BS112" s="221"/>
    </row>
    <row r="113" spans="2:71" x14ac:dyDescent="0.3">
      <c r="B113" s="189"/>
      <c r="C113" s="190"/>
      <c r="D113" s="189"/>
      <c r="E113" s="189"/>
      <c r="F113" s="191"/>
      <c r="G113" s="97"/>
      <c r="H113" s="190"/>
      <c r="I113" s="189"/>
      <c r="J113" s="189"/>
      <c r="K113" s="190"/>
      <c r="L113" s="189"/>
      <c r="M113" s="201"/>
      <c r="N113" s="189"/>
      <c r="O113" s="189"/>
      <c r="P113" s="201"/>
      <c r="Q113" s="189"/>
      <c r="R113" s="201"/>
      <c r="S113" s="189"/>
      <c r="AH113" s="222"/>
      <c r="AS113" s="21"/>
      <c r="AT113" s="220"/>
      <c r="AU113" s="220"/>
      <c r="AV113" s="220"/>
      <c r="AW113" s="220"/>
      <c r="AX113" s="220"/>
      <c r="AY113" s="220"/>
      <c r="AZ113" s="220"/>
      <c r="BA113" s="220"/>
      <c r="BB113" s="220"/>
      <c r="BC113" s="259" t="s">
        <v>21</v>
      </c>
      <c r="BD113" s="262" t="e">
        <f>BD112/5</f>
        <v>#DIV/0!</v>
      </c>
      <c r="BE113" s="262" t="e">
        <f t="shared" ref="BE113:BI113" si="91">BE112/5</f>
        <v>#DIV/0!</v>
      </c>
      <c r="BF113" s="262" t="e">
        <f t="shared" si="91"/>
        <v>#DIV/0!</v>
      </c>
      <c r="BG113" s="262" t="e">
        <f t="shared" si="91"/>
        <v>#DIV/0!</v>
      </c>
      <c r="BH113" s="262" t="e">
        <f t="shared" si="91"/>
        <v>#DIV/0!</v>
      </c>
      <c r="BI113" s="262" t="e">
        <f t="shared" si="91"/>
        <v>#DIV/0!</v>
      </c>
      <c r="BJ113" s="221"/>
      <c r="BK113" s="260" t="e">
        <f t="shared" si="77"/>
        <v>#DIV/0!</v>
      </c>
      <c r="BL113" s="260" t="e">
        <f t="shared" ref="BL113:BL114" si="92">1/BE113</f>
        <v>#DIV/0!</v>
      </c>
      <c r="BM113" s="260" t="e">
        <f t="shared" si="88"/>
        <v>#DIV/0!</v>
      </c>
      <c r="BN113" s="260" t="e">
        <f t="shared" si="89"/>
        <v>#DIV/0!</v>
      </c>
      <c r="BO113" s="260" t="e">
        <f t="shared" si="90"/>
        <v>#DIV/0!</v>
      </c>
      <c r="BP113" s="260" t="s">
        <v>8</v>
      </c>
      <c r="BQ113" s="263" t="s">
        <v>181</v>
      </c>
      <c r="BR113" s="221"/>
      <c r="BS113" s="221"/>
    </row>
    <row r="114" spans="2:71" x14ac:dyDescent="0.3">
      <c r="B114" s="189"/>
      <c r="C114" s="190"/>
      <c r="D114" s="189"/>
      <c r="E114" s="189"/>
      <c r="F114" s="191"/>
      <c r="G114" s="97"/>
      <c r="H114" s="190"/>
      <c r="I114" s="189"/>
      <c r="J114" s="189"/>
      <c r="K114" s="190"/>
      <c r="L114" s="189"/>
      <c r="M114" s="201"/>
      <c r="N114" s="189"/>
      <c r="O114" s="189"/>
      <c r="P114" s="201"/>
      <c r="Q114" s="189"/>
      <c r="R114" s="201"/>
      <c r="S114" s="189"/>
      <c r="AH114" s="222"/>
      <c r="AS114" s="21"/>
      <c r="AT114" s="223">
        <v>1</v>
      </c>
      <c r="AU114" s="231" t="e">
        <f>"da "&amp;ROUND(BF103,0)&amp;" a "&amp;ROUND(BF102,0)&amp;" auto/giorno a 70 kmh"</f>
        <v>#DIV/0!</v>
      </c>
      <c r="AV114" s="220"/>
      <c r="AW114" s="220"/>
      <c r="AX114" s="223">
        <v>1</v>
      </c>
      <c r="AY114" s="231" t="e">
        <f>"da "&amp;ROUND(BF125,0)&amp;" a "&amp;ROUND(BF124,0)&amp;" auto/giorno a 70 kmh"</f>
        <v>#DIV/0!</v>
      </c>
      <c r="AZ114" s="231"/>
      <c r="BA114" s="220"/>
      <c r="BB114" s="220"/>
      <c r="BC114" s="259" t="s">
        <v>15</v>
      </c>
      <c r="BD114" s="268" t="e">
        <f t="shared" ref="BD114:BI114" si="93">BD112/10</f>
        <v>#DIV/0!</v>
      </c>
      <c r="BE114" s="268" t="e">
        <f t="shared" si="93"/>
        <v>#DIV/0!</v>
      </c>
      <c r="BF114" s="268" t="e">
        <f t="shared" si="93"/>
        <v>#DIV/0!</v>
      </c>
      <c r="BG114" s="268" t="e">
        <f t="shared" si="93"/>
        <v>#DIV/0!</v>
      </c>
      <c r="BH114" s="268" t="e">
        <f t="shared" si="93"/>
        <v>#DIV/0!</v>
      </c>
      <c r="BI114" s="268" t="e">
        <f t="shared" si="93"/>
        <v>#DIV/0!</v>
      </c>
      <c r="BJ114" s="221"/>
      <c r="BK114" s="260" t="e">
        <f t="shared" si="77"/>
        <v>#DIV/0!</v>
      </c>
      <c r="BL114" s="260" t="e">
        <f t="shared" si="92"/>
        <v>#DIV/0!</v>
      </c>
      <c r="BM114" s="260" t="e">
        <f t="shared" si="88"/>
        <v>#DIV/0!</v>
      </c>
      <c r="BN114" s="260" t="e">
        <f t="shared" si="89"/>
        <v>#DIV/0!</v>
      </c>
      <c r="BO114" s="260" t="e">
        <f t="shared" si="90"/>
        <v>#DIV/0!</v>
      </c>
      <c r="BP114" s="260" t="s">
        <v>8</v>
      </c>
      <c r="BQ114" s="264" t="s">
        <v>172</v>
      </c>
      <c r="BR114" s="221"/>
      <c r="BS114" s="221"/>
    </row>
    <row r="115" spans="2:71" x14ac:dyDescent="0.3">
      <c r="B115" s="189"/>
      <c r="C115" s="190"/>
      <c r="D115" s="189"/>
      <c r="E115" s="189"/>
      <c r="F115" s="191"/>
      <c r="G115" s="97"/>
      <c r="H115" s="190"/>
      <c r="I115" s="189"/>
      <c r="J115" s="189"/>
      <c r="K115" s="190"/>
      <c r="L115" s="189"/>
      <c r="M115" s="201"/>
      <c r="N115" s="189"/>
      <c r="O115" s="189"/>
      <c r="P115" s="201"/>
      <c r="Q115" s="189"/>
      <c r="R115" s="201"/>
      <c r="S115" s="189"/>
      <c r="AH115" s="222"/>
      <c r="AS115" s="21"/>
      <c r="AT115" s="223">
        <v>2</v>
      </c>
      <c r="AU115" s="231" t="e">
        <f>"da "&amp;ROUND(BF105,0)&amp;" a "&amp;ROUND(BF103,0)&amp;" auto/giorno a 70 kmh"</f>
        <v>#DIV/0!</v>
      </c>
      <c r="AV115" s="220"/>
      <c r="AW115" s="220"/>
      <c r="AX115" s="223">
        <v>2</v>
      </c>
      <c r="AY115" s="231" t="e">
        <f>"da "&amp;ROUND(BF127,0)&amp;" a "&amp;ROUND(BF125,0)&amp;" auto/giorno a 70 kmh"</f>
        <v>#DIV/0!</v>
      </c>
      <c r="AZ115" s="231"/>
      <c r="BA115" s="220"/>
      <c r="BB115" s="220"/>
      <c r="BC115" s="220"/>
      <c r="BD115" s="220"/>
      <c r="BE115" s="220"/>
      <c r="BF115" s="220"/>
      <c r="BG115" s="220"/>
      <c r="BH115" s="220"/>
      <c r="BI115" s="220"/>
      <c r="BJ115" s="221"/>
      <c r="BK115" s="221"/>
      <c r="BL115" s="221"/>
      <c r="BM115" s="221"/>
      <c r="BN115" s="221"/>
      <c r="BO115" s="221"/>
      <c r="BP115" s="221"/>
      <c r="BQ115" s="264" t="s">
        <v>173</v>
      </c>
      <c r="BR115" s="221"/>
      <c r="BS115" s="221"/>
    </row>
    <row r="116" spans="2:71" x14ac:dyDescent="0.3">
      <c r="B116" s="189"/>
      <c r="C116" s="190"/>
      <c r="D116" s="189"/>
      <c r="E116" s="189"/>
      <c r="F116" s="191"/>
      <c r="G116" s="97"/>
      <c r="H116" s="190"/>
      <c r="I116" s="189"/>
      <c r="J116" s="189"/>
      <c r="K116" s="190"/>
      <c r="L116" s="189"/>
      <c r="M116" s="201"/>
      <c r="N116" s="189"/>
      <c r="O116" s="189"/>
      <c r="P116" s="201"/>
      <c r="Q116" s="189"/>
      <c r="R116" s="201"/>
      <c r="S116" s="189"/>
      <c r="AH116" s="222"/>
      <c r="AS116" s="21"/>
      <c r="AT116" s="223">
        <v>3</v>
      </c>
      <c r="AU116" s="231" t="e">
        <f>"da "&amp;ROUND(BF107,0)&amp;" a "&amp;ROUND(BF105,0)&amp;" auto/giorno a 70 kmh"</f>
        <v>#DIV/0!</v>
      </c>
      <c r="AV116" s="220"/>
      <c r="AW116" s="220"/>
      <c r="AX116" s="223">
        <v>3</v>
      </c>
      <c r="AY116" s="231" t="e">
        <f>"da "&amp;ROUND(BF129,0)&amp;" a "&amp;ROUND(BF127,0)&amp;" auto/giorno a 70 kmh"</f>
        <v>#DIV/0!</v>
      </c>
      <c r="AZ116" s="231"/>
      <c r="BA116" s="220"/>
      <c r="BB116" s="220"/>
      <c r="BC116" s="220"/>
      <c r="BD116" s="245"/>
      <c r="BE116" s="220"/>
      <c r="BF116" s="220"/>
      <c r="BG116" s="220"/>
      <c r="BH116" s="220"/>
      <c r="BI116" s="220"/>
      <c r="BJ116" s="221"/>
      <c r="BK116" s="221"/>
      <c r="BL116" s="221"/>
      <c r="BM116" s="221"/>
      <c r="BN116" s="221"/>
      <c r="BO116" s="221"/>
      <c r="BP116" s="221"/>
      <c r="BQ116" s="264" t="s">
        <v>765</v>
      </c>
      <c r="BR116" s="221"/>
      <c r="BS116" s="221"/>
    </row>
    <row r="117" spans="2:71" x14ac:dyDescent="0.3">
      <c r="B117" s="189"/>
      <c r="C117" s="190"/>
      <c r="D117" s="189"/>
      <c r="E117" s="189"/>
      <c r="F117" s="191"/>
      <c r="G117" s="97"/>
      <c r="H117" s="190"/>
      <c r="I117" s="189"/>
      <c r="J117" s="189"/>
      <c r="K117" s="190"/>
      <c r="L117" s="189"/>
      <c r="M117" s="201"/>
      <c r="N117" s="189"/>
      <c r="O117" s="189"/>
      <c r="P117" s="201"/>
      <c r="Q117" s="189"/>
      <c r="R117" s="201"/>
      <c r="S117" s="189"/>
      <c r="AH117" s="222"/>
      <c r="AS117" s="21"/>
      <c r="AT117" s="223">
        <v>4</v>
      </c>
      <c r="AU117" s="231" t="e">
        <f>"da "&amp;ROUND(BF109,0)&amp;" a "&amp;ROUND(BF107,0)&amp;" auto/giorno a 70 kmh"</f>
        <v>#DIV/0!</v>
      </c>
      <c r="AV117" s="220"/>
      <c r="AW117" s="220"/>
      <c r="AX117" s="223">
        <v>4</v>
      </c>
      <c r="AY117" s="231" t="e">
        <f>"da "&amp;ROUND(BF131,0)&amp;" a "&amp;ROUND(BF129,0)&amp;" auto/giorno a 70 kmh"</f>
        <v>#DIV/0!</v>
      </c>
      <c r="AZ117" s="231"/>
      <c r="BA117" s="220"/>
      <c r="BB117" s="220"/>
      <c r="BC117" s="220"/>
      <c r="BD117" s="220"/>
      <c r="BE117" s="220"/>
      <c r="BF117" s="220"/>
      <c r="BG117" s="220"/>
      <c r="BH117" s="220"/>
      <c r="BI117" s="220"/>
      <c r="BJ117" s="221"/>
      <c r="BK117" s="221"/>
      <c r="BL117" s="221"/>
      <c r="BM117" s="221"/>
      <c r="BN117" s="221"/>
      <c r="BO117" s="221"/>
      <c r="BP117" s="221"/>
      <c r="BQ117" s="264" t="s">
        <v>1017</v>
      </c>
      <c r="BR117" s="221"/>
      <c r="BS117" s="221"/>
    </row>
    <row r="118" spans="2:71" x14ac:dyDescent="0.3">
      <c r="B118" s="189"/>
      <c r="C118" s="190"/>
      <c r="D118" s="189"/>
      <c r="E118" s="189"/>
      <c r="F118" s="191"/>
      <c r="G118" s="97"/>
      <c r="H118" s="190"/>
      <c r="I118" s="189"/>
      <c r="J118" s="189"/>
      <c r="K118" s="190"/>
      <c r="L118" s="189"/>
      <c r="M118" s="201"/>
      <c r="N118" s="189"/>
      <c r="O118" s="189"/>
      <c r="P118" s="201"/>
      <c r="Q118" s="189"/>
      <c r="R118" s="201"/>
      <c r="S118" s="189"/>
      <c r="AH118" s="222"/>
      <c r="AS118" s="21"/>
      <c r="AT118" s="223">
        <v>5</v>
      </c>
      <c r="AU118" s="231" t="e">
        <f>"da "&amp;ROUND(BF111,1)&amp;" a "&amp;ROUND(BF109,0)&amp;" auto/giorno a 70 kmh"</f>
        <v>#DIV/0!</v>
      </c>
      <c r="AV118" s="220"/>
      <c r="AW118" s="220"/>
      <c r="AX118" s="223">
        <v>5</v>
      </c>
      <c r="AY118" s="231" t="e">
        <f>"da "&amp;ROUND(BF133,1)&amp;" a "&amp;ROUND(BF131,0)&amp;" auto/giorno a 70 kmh"</f>
        <v>#DIV/0!</v>
      </c>
      <c r="AZ118" s="231"/>
      <c r="BA118" s="220"/>
      <c r="BB118" s="220"/>
      <c r="BC118" s="227" t="s">
        <v>184</v>
      </c>
      <c r="BD118" s="223">
        <v>30</v>
      </c>
      <c r="BE118" s="223">
        <v>50</v>
      </c>
      <c r="BF118" s="223">
        <v>70</v>
      </c>
      <c r="BG118" s="223">
        <v>90</v>
      </c>
      <c r="BH118" s="223">
        <v>110</v>
      </c>
      <c r="BI118" s="223">
        <f>BI96</f>
        <v>60</v>
      </c>
      <c r="BJ118" s="221"/>
      <c r="BK118" s="221"/>
      <c r="BL118" s="221"/>
      <c r="BM118" s="221"/>
      <c r="BN118" s="221"/>
      <c r="BO118" s="221"/>
      <c r="BP118" s="221"/>
      <c r="BQ118" s="264" t="s">
        <v>1018</v>
      </c>
      <c r="BR118" s="221"/>
      <c r="BS118" s="221"/>
    </row>
    <row r="119" spans="2:71" x14ac:dyDescent="0.3">
      <c r="B119" s="189"/>
      <c r="C119" s="190"/>
      <c r="D119" s="189"/>
      <c r="E119" s="189"/>
      <c r="F119" s="191"/>
      <c r="G119" s="97"/>
      <c r="H119" s="190"/>
      <c r="I119" s="189"/>
      <c r="J119" s="189"/>
      <c r="K119" s="190"/>
      <c r="L119" s="189"/>
      <c r="M119" s="201"/>
      <c r="N119" s="189"/>
      <c r="O119" s="189"/>
      <c r="P119" s="201"/>
      <c r="Q119" s="189"/>
      <c r="R119" s="201"/>
      <c r="S119" s="189"/>
      <c r="AH119" s="222"/>
      <c r="AT119" s="223">
        <v>6</v>
      </c>
      <c r="AU119" s="231" t="e">
        <f>"da "&amp;ROUND(BF113,2)&amp;" a "&amp;ROUND(BF111,0)&amp;" auto/giorno a 70 kmh"</f>
        <v>#DIV/0!</v>
      </c>
      <c r="AV119" s="220"/>
      <c r="AW119" s="220"/>
      <c r="AX119" s="223">
        <v>6</v>
      </c>
      <c r="AY119" s="231" t="e">
        <f>"da "&amp;ROUND(BF135,2)&amp;" a "&amp;ROUND(BF133,0)&amp;" auto/giorno a 70 kmh"</f>
        <v>#DIV/0!</v>
      </c>
      <c r="AZ119" s="231"/>
      <c r="BA119" s="220"/>
      <c r="BB119" s="220"/>
      <c r="BC119" s="227" t="s">
        <v>185</v>
      </c>
      <c r="BD119" s="249">
        <f t="shared" ref="BD119:BI119" si="94">BD118*1000/3600</f>
        <v>8.3333333333333339</v>
      </c>
      <c r="BE119" s="249">
        <f t="shared" si="94"/>
        <v>13.888888888888889</v>
      </c>
      <c r="BF119" s="249">
        <f t="shared" si="94"/>
        <v>19.444444444444443</v>
      </c>
      <c r="BG119" s="249">
        <f t="shared" si="94"/>
        <v>25</v>
      </c>
      <c r="BH119" s="249">
        <f t="shared" si="94"/>
        <v>30.555555555555557</v>
      </c>
      <c r="BI119" s="249">
        <f t="shared" si="94"/>
        <v>16.666666666666668</v>
      </c>
      <c r="BJ119" s="221"/>
      <c r="BK119" s="221"/>
      <c r="BL119" s="221"/>
      <c r="BM119" s="221"/>
      <c r="BN119" s="221"/>
      <c r="BO119" s="221"/>
      <c r="BP119" s="221"/>
      <c r="BQ119" s="264" t="s">
        <v>1019</v>
      </c>
      <c r="BR119" s="221"/>
      <c r="BS119" s="221"/>
    </row>
    <row r="120" spans="2:71" x14ac:dyDescent="0.3">
      <c r="B120" s="189"/>
      <c r="C120" s="190"/>
      <c r="D120" s="189"/>
      <c r="E120" s="189"/>
      <c r="F120" s="191"/>
      <c r="G120" s="97"/>
      <c r="H120" s="190"/>
      <c r="I120" s="189"/>
      <c r="J120" s="189"/>
      <c r="K120" s="190"/>
      <c r="L120" s="189"/>
      <c r="M120" s="201"/>
      <c r="N120" s="189"/>
      <c r="O120" s="189"/>
      <c r="P120" s="201"/>
      <c r="Q120" s="189"/>
      <c r="R120" s="201"/>
      <c r="S120" s="189"/>
      <c r="AH120" s="222"/>
      <c r="AT120" s="223">
        <v>7</v>
      </c>
      <c r="AU120" s="231" t="e">
        <f>"da "&amp;ROUND(BF114,2)&amp;" a "&amp;ROUND(BF113,2)&amp;" auto/giorno a 70 kmh"</f>
        <v>#DIV/0!</v>
      </c>
      <c r="AV120" s="220"/>
      <c r="AW120" s="220"/>
      <c r="AX120" s="223">
        <v>7</v>
      </c>
      <c r="AY120" s="231" t="e">
        <f>"da "&amp;ROUND(BF136,2)&amp;" a "&amp;ROUND(BF135,2)&amp;" auto/giorno a 70 kmh"</f>
        <v>#DIV/0!</v>
      </c>
      <c r="AZ120" s="231"/>
      <c r="BA120" s="220"/>
      <c r="BB120" s="250"/>
      <c r="BC120" s="251" t="s">
        <v>183</v>
      </c>
      <c r="BD120" s="249">
        <f t="shared" ref="BD120:BI120" si="95">BD119^2/(2*9.8*0.5)</f>
        <v>7.0861678004535156</v>
      </c>
      <c r="BE120" s="249">
        <f t="shared" si="95"/>
        <v>19.683799445704206</v>
      </c>
      <c r="BF120" s="249">
        <f t="shared" si="95"/>
        <v>38.58024691358024</v>
      </c>
      <c r="BG120" s="249">
        <f t="shared" si="95"/>
        <v>63.775510204081627</v>
      </c>
      <c r="BH120" s="249">
        <f t="shared" si="95"/>
        <v>95.269589317208357</v>
      </c>
      <c r="BI120" s="249">
        <f t="shared" si="95"/>
        <v>28.344671201814062</v>
      </c>
      <c r="BJ120" s="221"/>
      <c r="BK120" s="221"/>
      <c r="BL120" s="221"/>
      <c r="BM120" s="221"/>
      <c r="BN120" s="221"/>
      <c r="BO120" s="221"/>
      <c r="BP120" s="221"/>
      <c r="BQ120" s="267" t="s">
        <v>1020</v>
      </c>
      <c r="BR120" s="221"/>
      <c r="BS120" s="221"/>
    </row>
    <row r="121" spans="2:71" x14ac:dyDescent="0.3">
      <c r="B121" s="189"/>
      <c r="C121" s="190"/>
      <c r="D121" s="189"/>
      <c r="E121" s="189"/>
      <c r="F121" s="191"/>
      <c r="G121" s="97"/>
      <c r="H121" s="190"/>
      <c r="I121" s="189"/>
      <c r="J121" s="189"/>
      <c r="K121" s="190"/>
      <c r="L121" s="189"/>
      <c r="M121" s="201"/>
      <c r="N121" s="189"/>
      <c r="O121" s="189"/>
      <c r="P121" s="201"/>
      <c r="Q121" s="189"/>
      <c r="R121" s="201"/>
      <c r="S121" s="189"/>
      <c r="AH121" s="222"/>
      <c r="AT121" s="223"/>
      <c r="AU121" s="231"/>
      <c r="AV121" s="220"/>
      <c r="AW121" s="220"/>
      <c r="AX121" s="223"/>
      <c r="AY121" s="231"/>
      <c r="AZ121" s="231"/>
      <c r="BA121" s="220"/>
      <c r="BB121" s="254"/>
      <c r="BC121" s="255" t="s">
        <v>1694</v>
      </c>
      <c r="BD121" s="258">
        <f t="shared" ref="BD121:BI121" si="96">BD120/BD119</f>
        <v>0.85034013605442182</v>
      </c>
      <c r="BE121" s="258">
        <f t="shared" si="96"/>
        <v>1.4172335600907029</v>
      </c>
      <c r="BF121" s="258">
        <f t="shared" si="96"/>
        <v>1.984126984126984</v>
      </c>
      <c r="BG121" s="258">
        <f t="shared" si="96"/>
        <v>2.5510204081632653</v>
      </c>
      <c r="BH121" s="258">
        <f t="shared" si="96"/>
        <v>3.1179138321995459</v>
      </c>
      <c r="BI121" s="258">
        <f t="shared" si="96"/>
        <v>1.7006802721088436</v>
      </c>
      <c r="BJ121" s="221"/>
      <c r="BK121" s="221"/>
      <c r="BL121" s="221"/>
      <c r="BM121" s="221"/>
      <c r="BN121" s="221"/>
      <c r="BO121" s="221"/>
      <c r="BP121" s="221"/>
      <c r="BQ121" s="221"/>
      <c r="BR121" s="221"/>
      <c r="BS121" s="221"/>
    </row>
    <row r="122" spans="2:71" x14ac:dyDescent="0.3">
      <c r="B122" s="189"/>
      <c r="C122" s="190"/>
      <c r="D122" s="189"/>
      <c r="E122" s="189"/>
      <c r="F122" s="191"/>
      <c r="G122" s="97"/>
      <c r="H122" s="190"/>
      <c r="I122" s="189"/>
      <c r="J122" s="189"/>
      <c r="K122" s="190"/>
      <c r="L122" s="189"/>
      <c r="M122" s="201"/>
      <c r="N122" s="189"/>
      <c r="O122" s="189"/>
      <c r="P122" s="201"/>
      <c r="Q122" s="189"/>
      <c r="R122" s="201"/>
      <c r="S122" s="189"/>
      <c r="AH122" s="222"/>
      <c r="AT122" s="223">
        <v>1</v>
      </c>
      <c r="AU122" s="231" t="e">
        <f>"da "&amp;ROUND(BE103,0)&amp;" a "&amp;ROUND(BE102,0)&amp;" auto/giorno a 50 kmh"</f>
        <v>#DIV/0!</v>
      </c>
      <c r="AV122" s="220"/>
      <c r="AW122" s="220"/>
      <c r="AX122" s="223">
        <v>1</v>
      </c>
      <c r="AY122" s="231" t="e">
        <f>"da "&amp;ROUND(BE125,0)&amp;" a "&amp;ROUND(BE124,0)&amp;" auto/giorno a 50 kmh"</f>
        <v>#DIV/0!</v>
      </c>
      <c r="AZ122" s="231"/>
      <c r="BA122" s="220"/>
      <c r="BB122" s="220"/>
      <c r="BC122" s="227" t="s">
        <v>175</v>
      </c>
      <c r="BD122" s="223">
        <f>$O$9*1.25</f>
        <v>0</v>
      </c>
      <c r="BE122" s="223">
        <f t="shared" ref="BE122:BI122" si="97">$O$9*1.25</f>
        <v>0</v>
      </c>
      <c r="BF122" s="223">
        <f t="shared" si="97"/>
        <v>0</v>
      </c>
      <c r="BG122" s="223">
        <f t="shared" si="97"/>
        <v>0</v>
      </c>
      <c r="BH122" s="223">
        <f t="shared" si="97"/>
        <v>0</v>
      </c>
      <c r="BI122" s="223">
        <f t="shared" si="97"/>
        <v>0</v>
      </c>
      <c r="BJ122" s="221"/>
      <c r="BK122" s="221"/>
      <c r="BL122" s="221"/>
      <c r="BM122" s="221"/>
      <c r="BN122" s="221"/>
      <c r="BO122" s="221"/>
      <c r="BP122" s="221"/>
      <c r="BQ122" s="221"/>
      <c r="BR122" s="221"/>
      <c r="BS122" s="221"/>
    </row>
    <row r="123" spans="2:71" x14ac:dyDescent="0.3">
      <c r="B123" s="189"/>
      <c r="C123" s="190"/>
      <c r="D123" s="189"/>
      <c r="E123" s="189"/>
      <c r="F123" s="191"/>
      <c r="G123" s="97"/>
      <c r="H123" s="190"/>
      <c r="I123" s="189"/>
      <c r="J123" s="189"/>
      <c r="K123" s="190"/>
      <c r="L123" s="189"/>
      <c r="M123" s="201"/>
      <c r="N123" s="189"/>
      <c r="O123" s="189"/>
      <c r="P123" s="201"/>
      <c r="Q123" s="189"/>
      <c r="R123" s="201"/>
      <c r="S123" s="189"/>
      <c r="AH123" s="222"/>
      <c r="AT123" s="223">
        <v>2</v>
      </c>
      <c r="AU123" s="231" t="e">
        <f>"da "&amp;ROUND(BE105,0)&amp;" a "&amp;ROUND(BE103,0)&amp;" auto/giorno a 50 kmh"</f>
        <v>#DIV/0!</v>
      </c>
      <c r="AV123" s="220"/>
      <c r="AW123" s="220"/>
      <c r="AX123" s="223">
        <v>2</v>
      </c>
      <c r="AY123" s="231" t="e">
        <f>"da "&amp;ROUND(BE127,0)&amp;" a "&amp;ROUND(BE125,0)&amp;" auto/giorno a 50 kmh"</f>
        <v>#DIV/0!</v>
      </c>
      <c r="AZ123" s="231"/>
      <c r="BA123" s="220"/>
      <c r="BB123" s="220"/>
      <c r="BC123" s="227" t="s">
        <v>1693</v>
      </c>
      <c r="BD123" s="258">
        <f t="shared" ref="BD123:BI123" si="98">BD122/BD119</f>
        <v>0</v>
      </c>
      <c r="BE123" s="258">
        <f t="shared" si="98"/>
        <v>0</v>
      </c>
      <c r="BF123" s="258">
        <f t="shared" si="98"/>
        <v>0</v>
      </c>
      <c r="BG123" s="258">
        <f t="shared" si="98"/>
        <v>0</v>
      </c>
      <c r="BH123" s="258">
        <f t="shared" si="98"/>
        <v>0</v>
      </c>
      <c r="BI123" s="258">
        <f t="shared" si="98"/>
        <v>0</v>
      </c>
      <c r="BJ123" s="221"/>
      <c r="BK123" s="221"/>
      <c r="BL123" s="221"/>
      <c r="BM123" s="221"/>
      <c r="BN123" s="221"/>
      <c r="BO123" s="221"/>
      <c r="BP123" s="221"/>
      <c r="BQ123" s="221"/>
      <c r="BR123" s="221"/>
      <c r="BS123" s="221"/>
    </row>
    <row r="124" spans="2:71" x14ac:dyDescent="0.3">
      <c r="B124" s="189"/>
      <c r="C124" s="190"/>
      <c r="D124" s="189"/>
      <c r="E124" s="189"/>
      <c r="F124" s="191"/>
      <c r="G124" s="97"/>
      <c r="H124" s="190"/>
      <c r="I124" s="189"/>
      <c r="J124" s="189"/>
      <c r="K124" s="190"/>
      <c r="L124" s="189"/>
      <c r="M124" s="201"/>
      <c r="N124" s="189"/>
      <c r="O124" s="189"/>
      <c r="P124" s="201"/>
      <c r="Q124" s="189"/>
      <c r="R124" s="201"/>
      <c r="S124" s="189"/>
      <c r="AH124" s="222"/>
      <c r="AT124" s="223">
        <v>3</v>
      </c>
      <c r="AU124" s="231" t="e">
        <f>"da "&amp;ROUND(BE107,0)&amp;" a "&amp;ROUND(BE105,0)&amp;" auto/giorno a 50 kmh"</f>
        <v>#DIV/0!</v>
      </c>
      <c r="AV124" s="220"/>
      <c r="AW124" s="220"/>
      <c r="AX124" s="223">
        <v>3</v>
      </c>
      <c r="AY124" s="231" t="e">
        <f>"da "&amp;ROUND(BE129,0)&amp;" a "&amp;ROUND(BE127,0)&amp;" auto/giorno a 50 kmh"</f>
        <v>#DIV/0!</v>
      </c>
      <c r="AZ124" s="231"/>
      <c r="BA124" s="220"/>
      <c r="BB124" s="220"/>
      <c r="BC124" s="235" t="s">
        <v>9</v>
      </c>
      <c r="BD124" s="260" t="e">
        <f>MIN(86400/BD121,86400/BD123)/$BD$95</f>
        <v>#DIV/0!</v>
      </c>
      <c r="BE124" s="260" t="e">
        <f t="shared" ref="BE124:BI124" si="99">MIN(86400/BE121,86400/BE123)/$BD$95</f>
        <v>#DIV/0!</v>
      </c>
      <c r="BF124" s="260" t="e">
        <f t="shared" si="99"/>
        <v>#DIV/0!</v>
      </c>
      <c r="BG124" s="260" t="e">
        <f t="shared" si="99"/>
        <v>#DIV/0!</v>
      </c>
      <c r="BH124" s="260" t="e">
        <f t="shared" si="99"/>
        <v>#DIV/0!</v>
      </c>
      <c r="BI124" s="260" t="e">
        <f t="shared" si="99"/>
        <v>#DIV/0!</v>
      </c>
      <c r="BJ124" s="221"/>
      <c r="BK124" s="221"/>
      <c r="BL124" s="221"/>
      <c r="BM124" s="221"/>
      <c r="BN124" s="221"/>
      <c r="BO124" s="221"/>
      <c r="BP124" s="221"/>
      <c r="BQ124" s="221"/>
      <c r="BR124" s="221"/>
      <c r="BS124" s="221"/>
    </row>
    <row r="125" spans="2:71" x14ac:dyDescent="0.3">
      <c r="B125" s="189"/>
      <c r="C125" s="190"/>
      <c r="D125" s="189"/>
      <c r="E125" s="189"/>
      <c r="F125" s="191"/>
      <c r="G125" s="97"/>
      <c r="H125" s="190"/>
      <c r="I125" s="189"/>
      <c r="J125" s="189"/>
      <c r="K125" s="190"/>
      <c r="L125" s="189"/>
      <c r="M125" s="201"/>
      <c r="N125" s="189"/>
      <c r="O125" s="189"/>
      <c r="P125" s="201"/>
      <c r="Q125" s="189"/>
      <c r="R125" s="201"/>
      <c r="S125" s="189"/>
      <c r="AH125" s="222"/>
      <c r="AT125" s="223">
        <v>4</v>
      </c>
      <c r="AU125" s="231" t="e">
        <f>"da "&amp;ROUND(BE109,0)&amp;" a "&amp;ROUND(BE107,0)&amp;" auto/giorno a 50 kmh"</f>
        <v>#DIV/0!</v>
      </c>
      <c r="AV125" s="220"/>
      <c r="AW125" s="220"/>
      <c r="AX125" s="223">
        <v>4</v>
      </c>
      <c r="AY125" s="231" t="e">
        <f>"da "&amp;ROUND(BE131,0)&amp;" a "&amp;ROUND(BE129,0)&amp;" auto/giorno a 50 kmh"</f>
        <v>#DIV/0!</v>
      </c>
      <c r="AZ125" s="231"/>
      <c r="BA125" s="220"/>
      <c r="BB125" s="220"/>
      <c r="BC125" s="235" t="s">
        <v>16</v>
      </c>
      <c r="BD125" s="262" t="e">
        <f t="shared" ref="BD125:BI125" si="100">BD124/5</f>
        <v>#DIV/0!</v>
      </c>
      <c r="BE125" s="262" t="e">
        <f t="shared" si="100"/>
        <v>#DIV/0!</v>
      </c>
      <c r="BF125" s="262" t="e">
        <f t="shared" si="100"/>
        <v>#DIV/0!</v>
      </c>
      <c r="BG125" s="262" t="e">
        <f t="shared" si="100"/>
        <v>#DIV/0!</v>
      </c>
      <c r="BH125" s="262" t="e">
        <f t="shared" si="100"/>
        <v>#DIV/0!</v>
      </c>
      <c r="BI125" s="262" t="e">
        <f t="shared" si="100"/>
        <v>#DIV/0!</v>
      </c>
      <c r="BJ125" s="221"/>
      <c r="BK125" s="221"/>
      <c r="BL125" s="221"/>
      <c r="BM125" s="221"/>
      <c r="BN125" s="221"/>
      <c r="BO125" s="221"/>
      <c r="BP125" s="221"/>
      <c r="BQ125" s="221"/>
      <c r="BR125" s="221"/>
      <c r="BS125" s="221"/>
    </row>
    <row r="126" spans="2:71" x14ac:dyDescent="0.3">
      <c r="B126" s="189"/>
      <c r="C126" s="190"/>
      <c r="D126" s="189"/>
      <c r="E126" s="189"/>
      <c r="F126" s="191"/>
      <c r="G126" s="97"/>
      <c r="H126" s="190"/>
      <c r="I126" s="189"/>
      <c r="J126" s="189"/>
      <c r="K126" s="190"/>
      <c r="L126" s="189"/>
      <c r="M126" s="201"/>
      <c r="N126" s="189"/>
      <c r="O126" s="189"/>
      <c r="P126" s="201"/>
      <c r="Q126" s="189"/>
      <c r="R126" s="201"/>
      <c r="S126" s="189"/>
      <c r="AH126" s="222"/>
      <c r="AT126" s="223">
        <v>5</v>
      </c>
      <c r="AU126" s="231" t="e">
        <f>"da "&amp;ROUND(BE111,1)&amp;" a "&amp;ROUND(BE109,0)&amp;" auto/giorno a 50 kmh"</f>
        <v>#DIV/0!</v>
      </c>
      <c r="AV126" s="220"/>
      <c r="AW126" s="220"/>
      <c r="AX126" s="223">
        <v>5</v>
      </c>
      <c r="AY126" s="231" t="e">
        <f>"da "&amp;ROUND(BE133,1)&amp;" a "&amp;ROUND(BE131,0)&amp;" auto/giorno a 50 kmh"</f>
        <v>#DIV/0!</v>
      </c>
      <c r="AZ126" s="231"/>
      <c r="BA126" s="220"/>
      <c r="BB126" s="220"/>
      <c r="BC126" s="235" t="s">
        <v>10</v>
      </c>
      <c r="BD126" s="262" t="e">
        <f t="shared" ref="BD126:BI126" si="101">BD124/10</f>
        <v>#DIV/0!</v>
      </c>
      <c r="BE126" s="262" t="e">
        <f t="shared" si="101"/>
        <v>#DIV/0!</v>
      </c>
      <c r="BF126" s="262" t="e">
        <f t="shared" si="101"/>
        <v>#DIV/0!</v>
      </c>
      <c r="BG126" s="262" t="e">
        <f t="shared" si="101"/>
        <v>#DIV/0!</v>
      </c>
      <c r="BH126" s="262" t="e">
        <f t="shared" si="101"/>
        <v>#DIV/0!</v>
      </c>
      <c r="BI126" s="262" t="e">
        <f t="shared" si="101"/>
        <v>#DIV/0!</v>
      </c>
      <c r="BJ126" s="221"/>
      <c r="BK126" s="221"/>
      <c r="BL126" s="221"/>
      <c r="BM126" s="221"/>
      <c r="BN126" s="221"/>
      <c r="BO126" s="221"/>
      <c r="BP126" s="221"/>
      <c r="BQ126" s="221"/>
      <c r="BR126" s="221"/>
      <c r="BS126" s="221"/>
    </row>
    <row r="127" spans="2:71" x14ac:dyDescent="0.3">
      <c r="B127" s="189"/>
      <c r="C127" s="190"/>
      <c r="D127" s="189"/>
      <c r="E127" s="189"/>
      <c r="F127" s="191"/>
      <c r="G127" s="97"/>
      <c r="H127" s="190"/>
      <c r="I127" s="189"/>
      <c r="J127" s="189"/>
      <c r="K127" s="190"/>
      <c r="L127" s="189"/>
      <c r="M127" s="201"/>
      <c r="N127" s="189"/>
      <c r="O127" s="189"/>
      <c r="P127" s="201"/>
      <c r="Q127" s="189"/>
      <c r="R127" s="201"/>
      <c r="S127" s="189"/>
      <c r="AH127" s="222"/>
      <c r="AT127" s="223">
        <v>6</v>
      </c>
      <c r="AU127" s="231" t="e">
        <f>"da "&amp;ROUND(BE113,2)&amp;" a "&amp;ROUND(BE111,0)&amp;" auto/giorno a 50 kmh"</f>
        <v>#DIV/0!</v>
      </c>
      <c r="AV127" s="220"/>
      <c r="AW127" s="220"/>
      <c r="AX127" s="223">
        <v>6</v>
      </c>
      <c r="AY127" s="231" t="e">
        <f>"da "&amp;ROUND(BE135,2)&amp;" a "&amp;ROUND(BE133,0)&amp;" auto/giorno a 50 kmh"</f>
        <v>#DIV/0!</v>
      </c>
      <c r="AZ127" s="231"/>
      <c r="BA127" s="220"/>
      <c r="BB127" s="220"/>
      <c r="BC127" s="235" t="s">
        <v>17</v>
      </c>
      <c r="BD127" s="262" t="e">
        <f>BD126/5</f>
        <v>#DIV/0!</v>
      </c>
      <c r="BE127" s="262" t="e">
        <f t="shared" ref="BE127:BI127" si="102">BE126/5</f>
        <v>#DIV/0!</v>
      </c>
      <c r="BF127" s="262" t="e">
        <f t="shared" si="102"/>
        <v>#DIV/0!</v>
      </c>
      <c r="BG127" s="262" t="e">
        <f t="shared" si="102"/>
        <v>#DIV/0!</v>
      </c>
      <c r="BH127" s="262" t="e">
        <f t="shared" si="102"/>
        <v>#DIV/0!</v>
      </c>
      <c r="BI127" s="262" t="e">
        <f t="shared" si="102"/>
        <v>#DIV/0!</v>
      </c>
      <c r="BJ127" s="221"/>
      <c r="BK127" s="221"/>
      <c r="BL127" s="221"/>
      <c r="BM127" s="221"/>
      <c r="BN127" s="221"/>
      <c r="BO127" s="221"/>
      <c r="BP127" s="221"/>
      <c r="BQ127" s="221"/>
      <c r="BR127" s="221"/>
      <c r="BS127" s="221"/>
    </row>
    <row r="128" spans="2:71" x14ac:dyDescent="0.3">
      <c r="B128" s="189"/>
      <c r="C128" s="190"/>
      <c r="D128" s="189"/>
      <c r="E128" s="189"/>
      <c r="F128" s="191"/>
      <c r="G128" s="97"/>
      <c r="H128" s="190"/>
      <c r="I128" s="189"/>
      <c r="J128" s="189"/>
      <c r="K128" s="190"/>
      <c r="L128" s="189"/>
      <c r="M128" s="201"/>
      <c r="N128" s="189"/>
      <c r="O128" s="189"/>
      <c r="P128" s="201"/>
      <c r="Q128" s="189"/>
      <c r="R128" s="201"/>
      <c r="S128" s="189"/>
      <c r="AH128" s="222"/>
      <c r="AT128" s="223">
        <v>7</v>
      </c>
      <c r="AU128" s="231" t="e">
        <f>"da "&amp;ROUND(BE114,2)&amp;" a "&amp;ROUND(BE113,2)&amp;" auto/giorno a 50 kmh"</f>
        <v>#DIV/0!</v>
      </c>
      <c r="AV128" s="220"/>
      <c r="AW128" s="220"/>
      <c r="AX128" s="223">
        <v>7</v>
      </c>
      <c r="AY128" s="231" t="e">
        <f>"da "&amp;ROUND(BE136,2)&amp;" a "&amp;ROUND(BE135,2)&amp;" auto/giorno a 50 kmh"</f>
        <v>#DIV/0!</v>
      </c>
      <c r="AZ128" s="231"/>
      <c r="BA128" s="220"/>
      <c r="BB128" s="220"/>
      <c r="BC128" s="235" t="s">
        <v>11</v>
      </c>
      <c r="BD128" s="265" t="e">
        <f t="shared" ref="BD128:BI128" si="103">BD126/10</f>
        <v>#DIV/0!</v>
      </c>
      <c r="BE128" s="265" t="e">
        <f t="shared" si="103"/>
        <v>#DIV/0!</v>
      </c>
      <c r="BF128" s="265" t="e">
        <f t="shared" si="103"/>
        <v>#DIV/0!</v>
      </c>
      <c r="BG128" s="265" t="e">
        <f t="shared" si="103"/>
        <v>#DIV/0!</v>
      </c>
      <c r="BH128" s="265" t="e">
        <f t="shared" si="103"/>
        <v>#DIV/0!</v>
      </c>
      <c r="BI128" s="265" t="e">
        <f t="shared" si="103"/>
        <v>#DIV/0!</v>
      </c>
      <c r="BJ128" s="221"/>
      <c r="BK128" s="221"/>
      <c r="BL128" s="221"/>
      <c r="BM128" s="221"/>
      <c r="BN128" s="221"/>
      <c r="BO128" s="221"/>
      <c r="BP128" s="221"/>
      <c r="BQ128" s="221"/>
      <c r="BR128" s="221"/>
      <c r="BS128" s="221"/>
    </row>
    <row r="129" spans="2:71" x14ac:dyDescent="0.3">
      <c r="B129" s="189"/>
      <c r="C129" s="190"/>
      <c r="D129" s="189"/>
      <c r="E129" s="189"/>
      <c r="F129" s="191"/>
      <c r="G129" s="97"/>
      <c r="H129" s="190"/>
      <c r="I129" s="189"/>
      <c r="J129" s="189"/>
      <c r="K129" s="190"/>
      <c r="L129" s="189"/>
      <c r="M129" s="201"/>
      <c r="N129" s="189"/>
      <c r="O129" s="189"/>
      <c r="P129" s="201"/>
      <c r="Q129" s="189"/>
      <c r="R129" s="201"/>
      <c r="S129" s="189"/>
      <c r="AH129" s="222"/>
      <c r="AT129" s="223"/>
      <c r="AU129" s="231"/>
      <c r="AV129" s="220"/>
      <c r="AW129" s="220"/>
      <c r="AX129" s="223"/>
      <c r="AY129" s="231"/>
      <c r="AZ129" s="231"/>
      <c r="BA129" s="220"/>
      <c r="BB129" s="220"/>
      <c r="BC129" s="235" t="s">
        <v>18</v>
      </c>
      <c r="BD129" s="262" t="e">
        <f>BD128/5</f>
        <v>#DIV/0!</v>
      </c>
      <c r="BE129" s="262" t="e">
        <f t="shared" ref="BE129:BI129" si="104">BE128/5</f>
        <v>#DIV/0!</v>
      </c>
      <c r="BF129" s="262" t="e">
        <f t="shared" si="104"/>
        <v>#DIV/0!</v>
      </c>
      <c r="BG129" s="262" t="e">
        <f t="shared" si="104"/>
        <v>#DIV/0!</v>
      </c>
      <c r="BH129" s="262" t="e">
        <f t="shared" si="104"/>
        <v>#DIV/0!</v>
      </c>
      <c r="BI129" s="262" t="e">
        <f t="shared" si="104"/>
        <v>#DIV/0!</v>
      </c>
      <c r="BJ129" s="221"/>
      <c r="BK129" s="221"/>
      <c r="BL129" s="221"/>
      <c r="BM129" s="221"/>
      <c r="BN129" s="221"/>
      <c r="BO129" s="221"/>
      <c r="BP129" s="221"/>
      <c r="BQ129" s="221"/>
      <c r="BR129" s="221"/>
      <c r="BS129" s="221"/>
    </row>
    <row r="130" spans="2:71" x14ac:dyDescent="0.3">
      <c r="B130" s="189"/>
      <c r="C130" s="190"/>
      <c r="D130" s="189"/>
      <c r="E130" s="189"/>
      <c r="F130" s="191"/>
      <c r="G130" s="97"/>
      <c r="H130" s="190"/>
      <c r="I130" s="189"/>
      <c r="J130" s="189"/>
      <c r="K130" s="190"/>
      <c r="L130" s="189"/>
      <c r="M130" s="201"/>
      <c r="N130" s="189"/>
      <c r="O130" s="189"/>
      <c r="P130" s="201"/>
      <c r="Q130" s="189"/>
      <c r="R130" s="201"/>
      <c r="S130" s="189"/>
      <c r="AH130" s="222"/>
      <c r="AT130" s="223">
        <v>1</v>
      </c>
      <c r="AU130" s="231" t="e">
        <f>"da "&amp;ROUND(BD103,0)&amp;" a "&amp;ROUND(BD102,0)&amp;" auto/giorno a 30 kmh"</f>
        <v>#DIV/0!</v>
      </c>
      <c r="AV130" s="220"/>
      <c r="AW130" s="220"/>
      <c r="AX130" s="223">
        <v>1</v>
      </c>
      <c r="AY130" s="231" t="e">
        <f>"da "&amp;ROUND(BD125,0)&amp;" a "&amp;ROUND(BD124,0)&amp;" auto/giorno a 30 kmh"</f>
        <v>#DIV/0!</v>
      </c>
      <c r="AZ130" s="231"/>
      <c r="BA130" s="220"/>
      <c r="BB130" s="220"/>
      <c r="BC130" s="235" t="s">
        <v>12</v>
      </c>
      <c r="BD130" s="266" t="e">
        <f t="shared" ref="BD130:BI130" si="105">BD128/10</f>
        <v>#DIV/0!</v>
      </c>
      <c r="BE130" s="266" t="e">
        <f t="shared" si="105"/>
        <v>#DIV/0!</v>
      </c>
      <c r="BF130" s="266" t="e">
        <f t="shared" si="105"/>
        <v>#DIV/0!</v>
      </c>
      <c r="BG130" s="266" t="e">
        <f t="shared" si="105"/>
        <v>#DIV/0!</v>
      </c>
      <c r="BH130" s="266" t="e">
        <f t="shared" si="105"/>
        <v>#DIV/0!</v>
      </c>
      <c r="BI130" s="266" t="e">
        <f t="shared" si="105"/>
        <v>#DIV/0!</v>
      </c>
      <c r="BJ130" s="221"/>
      <c r="BK130" s="221"/>
      <c r="BL130" s="221"/>
      <c r="BM130" s="221"/>
      <c r="BN130" s="221"/>
      <c r="BO130" s="221"/>
      <c r="BP130" s="221"/>
      <c r="BQ130" s="221"/>
      <c r="BR130" s="221"/>
      <c r="BS130" s="221"/>
    </row>
    <row r="131" spans="2:71" x14ac:dyDescent="0.3">
      <c r="B131" s="189"/>
      <c r="C131" s="190"/>
      <c r="D131" s="189"/>
      <c r="E131" s="189"/>
      <c r="F131" s="191"/>
      <c r="G131" s="97"/>
      <c r="H131" s="190"/>
      <c r="I131" s="189"/>
      <c r="J131" s="189"/>
      <c r="K131" s="190"/>
      <c r="L131" s="189"/>
      <c r="M131" s="201"/>
      <c r="N131" s="189"/>
      <c r="O131" s="189"/>
      <c r="P131" s="201"/>
      <c r="Q131" s="189"/>
      <c r="R131" s="201"/>
      <c r="S131" s="189"/>
      <c r="AH131" s="222"/>
      <c r="AT131" s="223">
        <v>2</v>
      </c>
      <c r="AU131" s="231" t="e">
        <f>"da "&amp;ROUND(BD105,0)&amp;" a "&amp;ROUND(BD103,0)&amp;" auto/giorno a 30 kmh"</f>
        <v>#DIV/0!</v>
      </c>
      <c r="AV131" s="220"/>
      <c r="AW131" s="220"/>
      <c r="AX131" s="223">
        <v>2</v>
      </c>
      <c r="AY131" s="231" t="e">
        <f>"da "&amp;ROUND(BD127,0)&amp;" a "&amp;ROUND(BD125,0)&amp;" auto/giorno a 30 kmh"</f>
        <v>#DIV/0!</v>
      </c>
      <c r="AZ131" s="231"/>
      <c r="BA131" s="220"/>
      <c r="BB131" s="220"/>
      <c r="BC131" s="235" t="s">
        <v>19</v>
      </c>
      <c r="BD131" s="262" t="e">
        <f>BD130/5</f>
        <v>#DIV/0!</v>
      </c>
      <c r="BE131" s="262" t="e">
        <f t="shared" ref="BE131:BI131" si="106">BE130/5</f>
        <v>#DIV/0!</v>
      </c>
      <c r="BF131" s="262" t="e">
        <f t="shared" si="106"/>
        <v>#DIV/0!</v>
      </c>
      <c r="BG131" s="262" t="e">
        <f t="shared" si="106"/>
        <v>#DIV/0!</v>
      </c>
      <c r="BH131" s="262" t="e">
        <f t="shared" si="106"/>
        <v>#DIV/0!</v>
      </c>
      <c r="BI131" s="262" t="e">
        <f t="shared" si="106"/>
        <v>#DIV/0!</v>
      </c>
      <c r="BJ131" s="221"/>
      <c r="BK131" s="221"/>
      <c r="BL131" s="221"/>
      <c r="BM131" s="221"/>
      <c r="BN131" s="221"/>
      <c r="BO131" s="221"/>
      <c r="BP131" s="221"/>
      <c r="BQ131" s="221"/>
      <c r="BR131" s="221"/>
      <c r="BS131" s="221"/>
    </row>
    <row r="132" spans="2:71" x14ac:dyDescent="0.3">
      <c r="B132" s="189"/>
      <c r="C132" s="190"/>
      <c r="D132" s="189"/>
      <c r="E132" s="189"/>
      <c r="F132" s="191"/>
      <c r="G132" s="97"/>
      <c r="H132" s="190"/>
      <c r="I132" s="189"/>
      <c r="J132" s="189"/>
      <c r="K132" s="190"/>
      <c r="L132" s="189"/>
      <c r="M132" s="201"/>
      <c r="N132" s="189"/>
      <c r="O132" s="189"/>
      <c r="P132" s="201"/>
      <c r="Q132" s="189"/>
      <c r="R132" s="201"/>
      <c r="S132" s="189"/>
      <c r="AH132" s="222"/>
      <c r="AT132" s="223">
        <v>3</v>
      </c>
      <c r="AU132" s="231" t="e">
        <f>"da "&amp;ROUND(BD107,0)&amp;" a "&amp;ROUND(BD105,0)&amp;" auto/giorno a 30 kmh"</f>
        <v>#DIV/0!</v>
      </c>
      <c r="AV132" s="220"/>
      <c r="AW132" s="220"/>
      <c r="AX132" s="223">
        <v>3</v>
      </c>
      <c r="AY132" s="231" t="e">
        <f>"da "&amp;ROUND(BD129,0)&amp;" a "&amp;ROUND(BD127,0)&amp;" auto/giorno a 30 kmh"</f>
        <v>#DIV/0!</v>
      </c>
      <c r="AZ132" s="231"/>
      <c r="BA132" s="220"/>
      <c r="BB132" s="220"/>
      <c r="BC132" s="235" t="s">
        <v>13</v>
      </c>
      <c r="BD132" s="266" t="e">
        <f t="shared" ref="BD132:BI132" si="107">BD130/10</f>
        <v>#DIV/0!</v>
      </c>
      <c r="BE132" s="266" t="e">
        <f t="shared" si="107"/>
        <v>#DIV/0!</v>
      </c>
      <c r="BF132" s="266" t="e">
        <f t="shared" si="107"/>
        <v>#DIV/0!</v>
      </c>
      <c r="BG132" s="266" t="e">
        <f t="shared" si="107"/>
        <v>#DIV/0!</v>
      </c>
      <c r="BH132" s="266" t="e">
        <f t="shared" si="107"/>
        <v>#DIV/0!</v>
      </c>
      <c r="BI132" s="266" t="e">
        <f t="shared" si="107"/>
        <v>#DIV/0!</v>
      </c>
      <c r="BJ132" s="221"/>
      <c r="BK132" s="221"/>
      <c r="BL132" s="221"/>
      <c r="BM132" s="221"/>
      <c r="BN132" s="221"/>
      <c r="BO132" s="221"/>
      <c r="BP132" s="221"/>
      <c r="BQ132" s="221"/>
      <c r="BR132" s="221"/>
      <c r="BS132" s="221"/>
    </row>
    <row r="133" spans="2:71" x14ac:dyDescent="0.3">
      <c r="B133" s="189"/>
      <c r="C133" s="190"/>
      <c r="D133" s="189"/>
      <c r="E133" s="189"/>
      <c r="F133" s="191"/>
      <c r="G133" s="97"/>
      <c r="H133" s="190"/>
      <c r="I133" s="189"/>
      <c r="J133" s="189"/>
      <c r="K133" s="190"/>
      <c r="L133" s="189"/>
      <c r="M133" s="201"/>
      <c r="N133" s="189"/>
      <c r="O133" s="189"/>
      <c r="P133" s="201"/>
      <c r="Q133" s="189"/>
      <c r="R133" s="201"/>
      <c r="S133" s="189"/>
      <c r="AH133" s="222"/>
      <c r="AT133" s="223">
        <v>4</v>
      </c>
      <c r="AU133" s="231" t="e">
        <f>"da "&amp;ROUND(BD109,0)&amp;" a "&amp;ROUND(BD107,0)&amp;" auto/giorno a 30 kmh"</f>
        <v>#DIV/0!</v>
      </c>
      <c r="AV133" s="220"/>
      <c r="AW133" s="220"/>
      <c r="AX133" s="223">
        <v>4</v>
      </c>
      <c r="AY133" s="231" t="e">
        <f>"da "&amp;ROUND(BD131,0)&amp;" a "&amp;ROUND(BD129,0)&amp;" auto/giorno a 30 kmh"</f>
        <v>#DIV/0!</v>
      </c>
      <c r="AZ133" s="231"/>
      <c r="BA133" s="220"/>
      <c r="BB133" s="220"/>
      <c r="BC133" s="235" t="s">
        <v>20</v>
      </c>
      <c r="BD133" s="262" t="e">
        <f>BD132/5</f>
        <v>#DIV/0!</v>
      </c>
      <c r="BE133" s="262" t="e">
        <f t="shared" ref="BE133:BI133" si="108">BE132/5</f>
        <v>#DIV/0!</v>
      </c>
      <c r="BF133" s="262" t="e">
        <f t="shared" si="108"/>
        <v>#DIV/0!</v>
      </c>
      <c r="BG133" s="262" t="e">
        <f t="shared" si="108"/>
        <v>#DIV/0!</v>
      </c>
      <c r="BH133" s="262" t="e">
        <f t="shared" si="108"/>
        <v>#DIV/0!</v>
      </c>
      <c r="BI133" s="262" t="e">
        <f t="shared" si="108"/>
        <v>#DIV/0!</v>
      </c>
      <c r="BJ133" s="221"/>
      <c r="BK133" s="221"/>
      <c r="BL133" s="221"/>
      <c r="BM133" s="221"/>
      <c r="BN133" s="221"/>
      <c r="BO133" s="221"/>
      <c r="BP133" s="221"/>
      <c r="BQ133" s="221"/>
      <c r="BR133" s="221"/>
      <c r="BS133" s="221"/>
    </row>
    <row r="134" spans="2:71" x14ac:dyDescent="0.3">
      <c r="B134" s="189"/>
      <c r="C134" s="190"/>
      <c r="D134" s="189"/>
      <c r="E134" s="189"/>
      <c r="F134" s="191"/>
      <c r="G134" s="97"/>
      <c r="H134" s="190"/>
      <c r="I134" s="189"/>
      <c r="J134" s="189"/>
      <c r="K134" s="190"/>
      <c r="L134" s="189"/>
      <c r="M134" s="201"/>
      <c r="N134" s="189"/>
      <c r="O134" s="189"/>
      <c r="P134" s="201"/>
      <c r="Q134" s="189"/>
      <c r="R134" s="201"/>
      <c r="S134" s="189"/>
      <c r="AH134" s="222"/>
      <c r="AT134" s="223">
        <v>5</v>
      </c>
      <c r="AU134" s="231" t="e">
        <f>"da "&amp;ROUND(BD111,1)&amp;" a "&amp;ROUND(BD109,0)&amp;" auto/giorno a 30 kmh"</f>
        <v>#DIV/0!</v>
      </c>
      <c r="AV134" s="220"/>
      <c r="AW134" s="220"/>
      <c r="AX134" s="223">
        <v>5</v>
      </c>
      <c r="AY134" s="231" t="e">
        <f>"da "&amp;ROUND(BD133,1)&amp;" a "&amp;ROUND(BD131,0)&amp;" auto/giorno a 30 kmh"</f>
        <v>#DIV/0!</v>
      </c>
      <c r="AZ134" s="231"/>
      <c r="BA134" s="220"/>
      <c r="BB134" s="220"/>
      <c r="BC134" s="235" t="s">
        <v>14</v>
      </c>
      <c r="BD134" s="266" t="e">
        <f t="shared" ref="BD134:BI134" si="109">BD132/10</f>
        <v>#DIV/0!</v>
      </c>
      <c r="BE134" s="266" t="e">
        <f t="shared" si="109"/>
        <v>#DIV/0!</v>
      </c>
      <c r="BF134" s="266" t="e">
        <f t="shared" si="109"/>
        <v>#DIV/0!</v>
      </c>
      <c r="BG134" s="266" t="e">
        <f t="shared" si="109"/>
        <v>#DIV/0!</v>
      </c>
      <c r="BH134" s="266" t="e">
        <f t="shared" si="109"/>
        <v>#DIV/0!</v>
      </c>
      <c r="BI134" s="266" t="e">
        <f t="shared" si="109"/>
        <v>#DIV/0!</v>
      </c>
      <c r="BJ134" s="221"/>
      <c r="BK134" s="221"/>
      <c r="BL134" s="221"/>
      <c r="BM134" s="221"/>
      <c r="BN134" s="221"/>
      <c r="BO134" s="221"/>
      <c r="BP134" s="221"/>
      <c r="BQ134" s="221"/>
      <c r="BR134" s="221"/>
      <c r="BS134" s="221"/>
    </row>
    <row r="135" spans="2:71" x14ac:dyDescent="0.3">
      <c r="B135" s="189"/>
      <c r="C135" s="190"/>
      <c r="D135" s="189"/>
      <c r="E135" s="189"/>
      <c r="F135" s="191"/>
      <c r="G135" s="97"/>
      <c r="H135" s="190"/>
      <c r="I135" s="189"/>
      <c r="J135" s="189"/>
      <c r="K135" s="190"/>
      <c r="L135" s="189"/>
      <c r="M135" s="201"/>
      <c r="N135" s="189"/>
      <c r="O135" s="189"/>
      <c r="P135" s="201"/>
      <c r="Q135" s="189"/>
      <c r="R135" s="201"/>
      <c r="S135" s="189"/>
      <c r="AH135" s="222"/>
      <c r="AT135" s="223">
        <v>6</v>
      </c>
      <c r="AU135" s="231" t="e">
        <f>"da "&amp;ROUND(BD113,2)&amp;" a "&amp;ROUND(BD111,0)&amp;" auto/giorno a 30 kmh"</f>
        <v>#DIV/0!</v>
      </c>
      <c r="AV135" s="220"/>
      <c r="AW135" s="220"/>
      <c r="AX135" s="223">
        <v>6</v>
      </c>
      <c r="AY135" s="231" t="e">
        <f>"da "&amp;ROUND(BD135,2)&amp;" a "&amp;ROUND(BD133,0)&amp;" auto/giorno a 30 kmh"</f>
        <v>#DIV/0!</v>
      </c>
      <c r="AZ135" s="231"/>
      <c r="BA135" s="220"/>
      <c r="BB135" s="220"/>
      <c r="BC135" s="235" t="s">
        <v>21</v>
      </c>
      <c r="BD135" s="262" t="e">
        <f>BD134/5</f>
        <v>#DIV/0!</v>
      </c>
      <c r="BE135" s="262" t="e">
        <f t="shared" ref="BE135:BI135" si="110">BE134/5</f>
        <v>#DIV/0!</v>
      </c>
      <c r="BF135" s="262" t="e">
        <f t="shared" si="110"/>
        <v>#DIV/0!</v>
      </c>
      <c r="BG135" s="262" t="e">
        <f t="shared" si="110"/>
        <v>#DIV/0!</v>
      </c>
      <c r="BH135" s="262" t="e">
        <f t="shared" si="110"/>
        <v>#DIV/0!</v>
      </c>
      <c r="BI135" s="262" t="e">
        <f t="shared" si="110"/>
        <v>#DIV/0!</v>
      </c>
      <c r="BJ135" s="221"/>
      <c r="BK135" s="221"/>
      <c r="BL135" s="221"/>
      <c r="BM135" s="221"/>
      <c r="BN135" s="221"/>
      <c r="BO135" s="221"/>
      <c r="BP135" s="221"/>
      <c r="BQ135" s="221"/>
      <c r="BR135" s="221"/>
      <c r="BS135" s="221"/>
    </row>
    <row r="136" spans="2:71" x14ac:dyDescent="0.3">
      <c r="B136" s="189"/>
      <c r="C136" s="190"/>
      <c r="D136" s="189"/>
      <c r="E136" s="189"/>
      <c r="F136" s="191"/>
      <c r="G136" s="97"/>
      <c r="H136" s="190"/>
      <c r="I136" s="189"/>
      <c r="J136" s="189"/>
      <c r="K136" s="190"/>
      <c r="L136" s="189"/>
      <c r="M136" s="201"/>
      <c r="N136" s="189"/>
      <c r="O136" s="189"/>
      <c r="P136" s="201"/>
      <c r="Q136" s="189"/>
      <c r="R136" s="201"/>
      <c r="S136" s="189"/>
      <c r="AH136" s="222"/>
      <c r="AT136" s="223">
        <v>7</v>
      </c>
      <c r="AU136" s="231" t="e">
        <f>"da "&amp;ROUND(BD114,2)&amp;" a "&amp;ROUND(BD113,2)&amp;" auto/giorno a 30 kmh"</f>
        <v>#DIV/0!</v>
      </c>
      <c r="AV136" s="220"/>
      <c r="AW136" s="220"/>
      <c r="AX136" s="223">
        <v>7</v>
      </c>
      <c r="AY136" s="231" t="e">
        <f>"da "&amp;ROUND(BD136,2)&amp;" a "&amp;ROUND(BD135,2)&amp;" auto/giorno a 30 kmh"</f>
        <v>#DIV/0!</v>
      </c>
      <c r="AZ136" s="231"/>
      <c r="BA136" s="220"/>
      <c r="BB136" s="220"/>
      <c r="BC136" s="235" t="s">
        <v>15</v>
      </c>
      <c r="BD136" s="268" t="e">
        <f t="shared" ref="BD136:BI136" si="111">BD134/10</f>
        <v>#DIV/0!</v>
      </c>
      <c r="BE136" s="268" t="e">
        <f t="shared" si="111"/>
        <v>#DIV/0!</v>
      </c>
      <c r="BF136" s="268" t="e">
        <f t="shared" si="111"/>
        <v>#DIV/0!</v>
      </c>
      <c r="BG136" s="268" t="e">
        <f t="shared" si="111"/>
        <v>#DIV/0!</v>
      </c>
      <c r="BH136" s="268" t="e">
        <f t="shared" si="111"/>
        <v>#DIV/0!</v>
      </c>
      <c r="BI136" s="268" t="e">
        <f t="shared" si="111"/>
        <v>#DIV/0!</v>
      </c>
      <c r="BJ136" s="221"/>
      <c r="BK136" s="221"/>
      <c r="BL136" s="221"/>
      <c r="BM136" s="221"/>
      <c r="BN136" s="221"/>
      <c r="BO136" s="221"/>
      <c r="BP136" s="221"/>
      <c r="BQ136" s="221"/>
      <c r="BR136" s="221"/>
      <c r="BS136" s="221"/>
    </row>
    <row r="137" spans="2:71" x14ac:dyDescent="0.3">
      <c r="AH137" s="222"/>
      <c r="AT137" s="220"/>
      <c r="AU137" s="220"/>
      <c r="AV137" s="220"/>
      <c r="AW137" s="220"/>
      <c r="AX137" s="220"/>
      <c r="AY137" s="220"/>
      <c r="AZ137" s="220"/>
      <c r="BA137" s="220"/>
      <c r="BB137" s="220"/>
      <c r="BC137" s="220"/>
      <c r="BD137" s="220"/>
      <c r="BE137" s="220"/>
      <c r="BF137" s="220"/>
      <c r="BG137" s="220"/>
      <c r="BH137" s="220"/>
      <c r="BI137" s="220"/>
      <c r="BJ137" s="221"/>
      <c r="BK137" s="221"/>
      <c r="BL137" s="221"/>
      <c r="BM137" s="221"/>
      <c r="BN137" s="221"/>
      <c r="BO137" s="221"/>
      <c r="BP137" s="221"/>
      <c r="BQ137" s="221"/>
      <c r="BR137" s="221"/>
      <c r="BS137" s="221"/>
    </row>
    <row r="138" spans="2:71" x14ac:dyDescent="0.3">
      <c r="AH138" s="222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</row>
    <row r="139" spans="2:71" x14ac:dyDescent="0.3">
      <c r="AH139" s="222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</row>
    <row r="140" spans="2:71" x14ac:dyDescent="0.3">
      <c r="AH140" s="222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</row>
    <row r="141" spans="2:71" x14ac:dyDescent="0.3">
      <c r="AH141" s="222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</row>
    <row r="142" spans="2:71" x14ac:dyDescent="0.3">
      <c r="AH142" s="222"/>
    </row>
    <row r="143" spans="2:71" x14ac:dyDescent="0.3">
      <c r="AH143" s="222"/>
    </row>
    <row r="144" spans="2:71" x14ac:dyDescent="0.3">
      <c r="AH144" s="222"/>
    </row>
    <row r="145" spans="34:34" x14ac:dyDescent="0.3">
      <c r="AH145" s="222"/>
    </row>
    <row r="146" spans="34:34" x14ac:dyDescent="0.3">
      <c r="AH146" s="222"/>
    </row>
    <row r="147" spans="34:34" x14ac:dyDescent="0.3">
      <c r="AH147" s="222"/>
    </row>
    <row r="148" spans="34:34" x14ac:dyDescent="0.3">
      <c r="AH148" s="222"/>
    </row>
    <row r="149" spans="34:34" x14ac:dyDescent="0.3">
      <c r="AH149" s="222"/>
    </row>
    <row r="150" spans="34:34" x14ac:dyDescent="0.3">
      <c r="AH150" s="222"/>
    </row>
    <row r="151" spans="34:34" x14ac:dyDescent="0.3">
      <c r="AH151" s="222"/>
    </row>
    <row r="152" spans="34:34" x14ac:dyDescent="0.3">
      <c r="AH152" s="222"/>
    </row>
    <row r="153" spans="34:34" x14ac:dyDescent="0.3">
      <c r="AH153" s="222"/>
    </row>
    <row r="154" spans="34:34" x14ac:dyDescent="0.3">
      <c r="AH154" s="222"/>
    </row>
    <row r="155" spans="34:34" x14ac:dyDescent="0.3">
      <c r="AH155" s="222"/>
    </row>
    <row r="156" spans="34:34" x14ac:dyDescent="0.3">
      <c r="AH156" s="222"/>
    </row>
    <row r="157" spans="34:34" x14ac:dyDescent="0.3">
      <c r="AH157" s="222"/>
    </row>
    <row r="158" spans="34:34" x14ac:dyDescent="0.3">
      <c r="AH158" s="222"/>
    </row>
    <row r="159" spans="34:34" x14ac:dyDescent="0.3">
      <c r="AH159" s="222"/>
    </row>
    <row r="160" spans="34:34" x14ac:dyDescent="0.3">
      <c r="AH160" s="222"/>
    </row>
    <row r="161" spans="34:34" x14ac:dyDescent="0.3">
      <c r="AH161" s="222"/>
    </row>
    <row r="162" spans="34:34" x14ac:dyDescent="0.3">
      <c r="AH162" s="222"/>
    </row>
    <row r="163" spans="34:34" x14ac:dyDescent="0.3">
      <c r="AH163" s="222"/>
    </row>
    <row r="164" spans="34:34" x14ac:dyDescent="0.3">
      <c r="AH164" s="222"/>
    </row>
    <row r="165" spans="34:34" x14ac:dyDescent="0.3">
      <c r="AH165" s="222"/>
    </row>
    <row r="166" spans="34:34" x14ac:dyDescent="0.3">
      <c r="AH166" s="222"/>
    </row>
    <row r="167" spans="34:34" x14ac:dyDescent="0.3">
      <c r="AH167" s="222"/>
    </row>
    <row r="168" spans="34:34" x14ac:dyDescent="0.3">
      <c r="AH168" s="222"/>
    </row>
    <row r="169" spans="34:34" x14ac:dyDescent="0.3">
      <c r="AH169" s="222"/>
    </row>
    <row r="170" spans="34:34" x14ac:dyDescent="0.3">
      <c r="AH170" s="222"/>
    </row>
    <row r="171" spans="34:34" x14ac:dyDescent="0.3">
      <c r="AH171" s="222"/>
    </row>
    <row r="172" spans="34:34" x14ac:dyDescent="0.3">
      <c r="AH172" s="222"/>
    </row>
    <row r="173" spans="34:34" x14ac:dyDescent="0.3">
      <c r="AH173" s="222"/>
    </row>
    <row r="174" spans="34:34" x14ac:dyDescent="0.3">
      <c r="AH174" s="222"/>
    </row>
    <row r="175" spans="34:34" x14ac:dyDescent="0.3">
      <c r="AH175" s="222"/>
    </row>
    <row r="176" spans="34:34" x14ac:dyDescent="0.3">
      <c r="AH176" s="222"/>
    </row>
    <row r="177" spans="34:34" x14ac:dyDescent="0.3">
      <c r="AH177" s="222"/>
    </row>
  </sheetData>
  <sheetProtection algorithmName="SHA-512" hashValue="/XYL1kLKyCQFWsuD+92mznptFpuf4AN3a6RzlCuurywcfXOE22DRSxKJlrTKGCiY6E8Sy5BueBZvBMS9hn4EjQ==" saltValue="3L8I41c+4xkX4BiVivfX2A==" spinCount="100000" sheet="1" objects="1" scenarios="1" selectLockedCells="1"/>
  <sortState xmlns:xlrd2="http://schemas.microsoft.com/office/spreadsheetml/2017/richdata2" ref="AE31:AE63">
    <sortCondition ref="AE63"/>
  </sortState>
  <dataConsolidate/>
  <mergeCells count="184">
    <mergeCell ref="M33:Q33"/>
    <mergeCell ref="M52:Q52"/>
    <mergeCell ref="J6:Q6"/>
    <mergeCell ref="N32:Q32"/>
    <mergeCell ref="I51:I52"/>
    <mergeCell ref="J50:L50"/>
    <mergeCell ref="N50:Q50"/>
    <mergeCell ref="C51:F51"/>
    <mergeCell ref="G51:G52"/>
    <mergeCell ref="H51:H52"/>
    <mergeCell ref="E26:G26"/>
    <mergeCell ref="E27:G27"/>
    <mergeCell ref="E28:G28"/>
    <mergeCell ref="E29:G29"/>
    <mergeCell ref="H26:S26"/>
    <mergeCell ref="H27:S27"/>
    <mergeCell ref="H28:S28"/>
    <mergeCell ref="H29:S29"/>
    <mergeCell ref="J31:L31"/>
    <mergeCell ref="C31:F31"/>
    <mergeCell ref="N31:Q31"/>
    <mergeCell ref="S31:U31"/>
    <mergeCell ref="H31:I31"/>
    <mergeCell ref="S50:U50"/>
    <mergeCell ref="T41:U41"/>
    <mergeCell ref="R51:R52"/>
    <mergeCell ref="B52:F52"/>
    <mergeCell ref="I35:U35"/>
    <mergeCell ref="I36:U36"/>
    <mergeCell ref="I37:U37"/>
    <mergeCell ref="I38:U38"/>
    <mergeCell ref="C50:F50"/>
    <mergeCell ref="J52:K52"/>
    <mergeCell ref="T52:U52"/>
    <mergeCell ref="O44:P44"/>
    <mergeCell ref="T42:U42"/>
    <mergeCell ref="Q41:S41"/>
    <mergeCell ref="N51:Q51"/>
    <mergeCell ref="J42:K42"/>
    <mergeCell ref="B42:I42"/>
    <mergeCell ref="B41:I41"/>
    <mergeCell ref="O42:P42"/>
    <mergeCell ref="B55:D55"/>
    <mergeCell ref="E55:G55"/>
    <mergeCell ref="B56:D56"/>
    <mergeCell ref="E56:G56"/>
    <mergeCell ref="B57:D57"/>
    <mergeCell ref="E57:G57"/>
    <mergeCell ref="I54:U54"/>
    <mergeCell ref="I55:U55"/>
    <mergeCell ref="I56:U56"/>
    <mergeCell ref="I57:U57"/>
    <mergeCell ref="E53:G53"/>
    <mergeCell ref="B54:D54"/>
    <mergeCell ref="E54:G54"/>
    <mergeCell ref="I53:U53"/>
    <mergeCell ref="J43:K43"/>
    <mergeCell ref="J44:K44"/>
    <mergeCell ref="B43:I43"/>
    <mergeCell ref="B44:I44"/>
    <mergeCell ref="B49:U49"/>
    <mergeCell ref="H50:I50"/>
    <mergeCell ref="J51:K51"/>
    <mergeCell ref="T51:U51"/>
    <mergeCell ref="Q21:T21"/>
    <mergeCell ref="G23:J23"/>
    <mergeCell ref="Q22:T22"/>
    <mergeCell ref="G22:J22"/>
    <mergeCell ref="Q18:T18"/>
    <mergeCell ref="B35:D35"/>
    <mergeCell ref="B36:D36"/>
    <mergeCell ref="B37:D37"/>
    <mergeCell ref="B38:D38"/>
    <mergeCell ref="E35:G35"/>
    <mergeCell ref="E36:G36"/>
    <mergeCell ref="E37:G37"/>
    <mergeCell ref="E38:G38"/>
    <mergeCell ref="C32:F32"/>
    <mergeCell ref="B33:F33"/>
    <mergeCell ref="G32:G33"/>
    <mergeCell ref="J32:K32"/>
    <mergeCell ref="I32:I33"/>
    <mergeCell ref="H32:H33"/>
    <mergeCell ref="R32:R33"/>
    <mergeCell ref="E34:G34"/>
    <mergeCell ref="I34:U34"/>
    <mergeCell ref="T32:U32"/>
    <mergeCell ref="J33:K33"/>
    <mergeCell ref="E9:F9"/>
    <mergeCell ref="S10:U10"/>
    <mergeCell ref="D12:D13"/>
    <mergeCell ref="B23:E23"/>
    <mergeCell ref="G19:J19"/>
    <mergeCell ref="B19:E19"/>
    <mergeCell ref="B22:E22"/>
    <mergeCell ref="B21:E21"/>
    <mergeCell ref="E12:N13"/>
    <mergeCell ref="O13:Q13"/>
    <mergeCell ref="R13:U13"/>
    <mergeCell ref="O12:Q12"/>
    <mergeCell ref="R12:U12"/>
    <mergeCell ref="G17:J17"/>
    <mergeCell ref="G15:J15"/>
    <mergeCell ref="G16:J16"/>
    <mergeCell ref="J9:K9"/>
    <mergeCell ref="O9:P9"/>
    <mergeCell ref="G14:K14"/>
    <mergeCell ref="B10:C10"/>
    <mergeCell ref="G20:J20"/>
    <mergeCell ref="Q14:U14"/>
    <mergeCell ref="L14:P14"/>
    <mergeCell ref="L15:O15"/>
    <mergeCell ref="AQ2:AR2"/>
    <mergeCell ref="S7:U7"/>
    <mergeCell ref="G18:J18"/>
    <mergeCell ref="Q15:T15"/>
    <mergeCell ref="Q16:T16"/>
    <mergeCell ref="Q17:T17"/>
    <mergeCell ref="Q19:T19"/>
    <mergeCell ref="L19:O19"/>
    <mergeCell ref="L16:O16"/>
    <mergeCell ref="D2:N4"/>
    <mergeCell ref="C7:D7"/>
    <mergeCell ref="E7:F7"/>
    <mergeCell ref="G7:H7"/>
    <mergeCell ref="J7:L7"/>
    <mergeCell ref="N7:Q7"/>
    <mergeCell ref="I8:K8"/>
    <mergeCell ref="L8:M8"/>
    <mergeCell ref="E10:F10"/>
    <mergeCell ref="B6:C6"/>
    <mergeCell ref="D8:H8"/>
    <mergeCell ref="L18:O18"/>
    <mergeCell ref="N8:P8"/>
    <mergeCell ref="Q8:R8"/>
    <mergeCell ref="S8:U8"/>
    <mergeCell ref="C59:U59"/>
    <mergeCell ref="T43:U43"/>
    <mergeCell ref="B46:U46"/>
    <mergeCell ref="O47:P47"/>
    <mergeCell ref="B16:E16"/>
    <mergeCell ref="B17:E17"/>
    <mergeCell ref="B18:E18"/>
    <mergeCell ref="L23:O23"/>
    <mergeCell ref="Q23:T23"/>
    <mergeCell ref="L22:O22"/>
    <mergeCell ref="L24:O24"/>
    <mergeCell ref="B25:U25"/>
    <mergeCell ref="B24:E24"/>
    <mergeCell ref="B20:E20"/>
    <mergeCell ref="L41:N41"/>
    <mergeCell ref="L42:N42"/>
    <mergeCell ref="L43:N43"/>
    <mergeCell ref="L44:N44"/>
    <mergeCell ref="J41:K41"/>
    <mergeCell ref="G21:J21"/>
    <mergeCell ref="L21:O21"/>
    <mergeCell ref="L20:P20"/>
    <mergeCell ref="Q20:U20"/>
    <mergeCell ref="T33:U33"/>
    <mergeCell ref="T4:U4"/>
    <mergeCell ref="T9:U9"/>
    <mergeCell ref="L17:O17"/>
    <mergeCell ref="H10:I10"/>
    <mergeCell ref="J10:K10"/>
    <mergeCell ref="P10:R10"/>
    <mergeCell ref="T47:U47"/>
    <mergeCell ref="O41:P41"/>
    <mergeCell ref="B40:U40"/>
    <mergeCell ref="J47:K47"/>
    <mergeCell ref="T44:U44"/>
    <mergeCell ref="D6:F6"/>
    <mergeCell ref="Q42:S42"/>
    <mergeCell ref="B15:E15"/>
    <mergeCell ref="Q43:S43"/>
    <mergeCell ref="Q44:S44"/>
    <mergeCell ref="O43:P43"/>
    <mergeCell ref="B14:F14"/>
    <mergeCell ref="B12:C13"/>
    <mergeCell ref="B5:U5"/>
    <mergeCell ref="B11:U11"/>
    <mergeCell ref="G24:J24"/>
    <mergeCell ref="Q24:T24"/>
    <mergeCell ref="B30:U30"/>
  </mergeCells>
  <phoneticPr fontId="23" type="noConversion"/>
  <conditionalFormatting sqref="B33">
    <cfRule type="cellIs" dxfId="164" priority="641" operator="equal">
      <formula>2</formula>
    </cfRule>
    <cfRule type="cellIs" dxfId="163" priority="642" operator="equal">
      <formula>6</formula>
    </cfRule>
    <cfRule type="cellIs" dxfId="162" priority="643" operator="equal">
      <formula>5</formula>
    </cfRule>
    <cfRule type="cellIs" dxfId="161" priority="644" operator="equal">
      <formula>1</formula>
    </cfRule>
    <cfRule type="cellIs" dxfId="160" priority="645" operator="equal">
      <formula>3</formula>
    </cfRule>
    <cfRule type="cellIs" dxfId="159" priority="646" operator="equal">
      <formula>4</formula>
    </cfRule>
  </conditionalFormatting>
  <conditionalFormatting sqref="B52">
    <cfRule type="cellIs" dxfId="158" priority="1" operator="equal">
      <formula>2</formula>
    </cfRule>
    <cfRule type="cellIs" dxfId="157" priority="2" operator="equal">
      <formula>6</formula>
    </cfRule>
    <cfRule type="cellIs" dxfId="156" priority="3" operator="equal">
      <formula>5</formula>
    </cfRule>
    <cfRule type="cellIs" dxfId="155" priority="4" operator="equal">
      <formula>1</formula>
    </cfRule>
    <cfRule type="cellIs" dxfId="154" priority="5" operator="equal">
      <formula>3</formula>
    </cfRule>
    <cfRule type="cellIs" dxfId="153" priority="6" operator="equal">
      <formula>4</formula>
    </cfRule>
  </conditionalFormatting>
  <conditionalFormatting sqref="D12">
    <cfRule type="cellIs" dxfId="152" priority="836" operator="greaterThan">
      <formula>80</formula>
    </cfRule>
  </conditionalFormatting>
  <conditionalFormatting sqref="D12:D13">
    <cfRule type="cellIs" dxfId="151" priority="830" operator="equal">
      <formula>0</formula>
    </cfRule>
    <cfRule type="cellIs" dxfId="150" priority="831" operator="equal">
      <formula>5</formula>
    </cfRule>
    <cfRule type="cellIs" dxfId="149" priority="832" operator="between">
      <formula>15</formula>
      <formula>20</formula>
    </cfRule>
    <cfRule type="cellIs" dxfId="148" priority="833" operator="between">
      <formula>25</formula>
      <formula>40</formula>
    </cfRule>
    <cfRule type="cellIs" dxfId="147" priority="834" operator="equal">
      <formula>50</formula>
    </cfRule>
    <cfRule type="cellIs" dxfId="146" priority="835" operator="between">
      <formula>60</formula>
      <formula>80</formula>
    </cfRule>
  </conditionalFormatting>
  <conditionalFormatting sqref="E26:E29 L33 T33">
    <cfRule type="cellIs" dxfId="145" priority="1160" operator="equal">
      <formula>7</formula>
    </cfRule>
    <cfRule type="cellIs" dxfId="144" priority="1213" operator="equal">
      <formula>1</formula>
    </cfRule>
  </conditionalFormatting>
  <conditionalFormatting sqref="E26:E29 T33">
    <cfRule type="cellIs" dxfId="143" priority="1210" operator="equal">
      <formula>2</formula>
    </cfRule>
    <cfRule type="cellIs" dxfId="142" priority="1215" operator="equal">
      <formula>3</formula>
    </cfRule>
  </conditionalFormatting>
  <conditionalFormatting sqref="E26:E29">
    <cfRule type="containsText" dxfId="141" priority="662" operator="containsText" text="6 ind">
      <formula>NOT(ISERROR(SEARCH("6 ind",E26)))</formula>
    </cfRule>
    <cfRule type="containsText" dxfId="140" priority="663" operator="containsText" text="5 ind">
      <formula>NOT(ISERROR(SEARCH("5 ind",E26)))</formula>
    </cfRule>
    <cfRule type="containsText" dxfId="139" priority="664" operator="containsText" text="7 ind">
      <formula>NOT(ISERROR(SEARCH("7 ind",E26)))</formula>
    </cfRule>
    <cfRule type="containsText" dxfId="138" priority="665" operator="containsText" text="1 ind">
      <formula>NOT(ISERROR(SEARCH("1 ind",E26)))</formula>
    </cfRule>
    <cfRule type="containsText" dxfId="137" priority="666" operator="containsText" text="2 ind">
      <formula>NOT(ISERROR(SEARCH("2 ind",E26)))</formula>
    </cfRule>
    <cfRule type="containsText" dxfId="136" priority="667" operator="containsText" text="3 ind">
      <formula>NOT(ISERROR(SEARCH("3 ind",E26)))</formula>
    </cfRule>
    <cfRule type="containsText" dxfId="135" priority="668" operator="containsText" text="4 ind">
      <formula>NOT(ISERROR(SEARCH("4 ind",E26)))</formula>
    </cfRule>
    <cfRule type="cellIs" dxfId="134" priority="1157" operator="equal">
      <formula>4</formula>
    </cfRule>
    <cfRule type="cellIs" dxfId="133" priority="1158" operator="equal">
      <formula>5</formula>
    </cfRule>
    <cfRule type="cellIs" dxfId="132" priority="1159" operator="equal">
      <formula>6</formula>
    </cfRule>
  </conditionalFormatting>
  <conditionalFormatting sqref="G32">
    <cfRule type="cellIs" dxfId="131" priority="724" operator="equal">
      <formula>7</formula>
    </cfRule>
    <cfRule type="cellIs" dxfId="130" priority="725" operator="equal">
      <formula>2</formula>
    </cfRule>
    <cfRule type="cellIs" dxfId="129" priority="726" operator="equal">
      <formula>6</formula>
    </cfRule>
    <cfRule type="cellIs" dxfId="128" priority="727" operator="equal">
      <formula>5</formula>
    </cfRule>
    <cfRule type="cellIs" dxfId="127" priority="728" operator="equal">
      <formula>1</formula>
    </cfRule>
    <cfRule type="cellIs" dxfId="126" priority="730" operator="equal">
      <formula>3</formula>
    </cfRule>
    <cfRule type="cellIs" dxfId="125" priority="731" operator="equal">
      <formula>4</formula>
    </cfRule>
  </conditionalFormatting>
  <conditionalFormatting sqref="G51">
    <cfRule type="cellIs" dxfId="124" priority="17" operator="equal">
      <formula>7</formula>
    </cfRule>
    <cfRule type="cellIs" dxfId="123" priority="18" operator="equal">
      <formula>2</formula>
    </cfRule>
    <cfRule type="cellIs" dxfId="122" priority="19" operator="equal">
      <formula>6</formula>
    </cfRule>
    <cfRule type="cellIs" dxfId="121" priority="20" operator="equal">
      <formula>5</formula>
    </cfRule>
    <cfRule type="cellIs" dxfId="120" priority="21" operator="equal">
      <formula>1</formula>
    </cfRule>
    <cfRule type="cellIs" dxfId="119" priority="23" operator="equal">
      <formula>3</formula>
    </cfRule>
    <cfRule type="cellIs" dxfId="118" priority="24" operator="equal">
      <formula>4</formula>
    </cfRule>
  </conditionalFormatting>
  <conditionalFormatting sqref="H26:H29 I36:I38">
    <cfRule type="containsText" dxfId="117" priority="659" operator="containsText" text="rischio tollerabile per accordo ma inaccettabile se imposto a terzi">
      <formula>NOT(ISERROR(SEARCH("rischio tollerabile per accordo ma inaccettabile se imposto a terzi",H26)))</formula>
    </cfRule>
    <cfRule type="containsText" dxfId="116" priority="660" operator="containsText" text="rischio tollerabile se ALARP - valutare costi/benefici del controllo">
      <formula>NOT(ISERROR(SEARCH("rischio tollerabile se ALARP - valutare costi/benefici del controllo",H26)))</formula>
    </cfRule>
    <cfRule type="containsText" dxfId="115" priority="661" operator="containsText" text="rischio largamente accettabile">
      <formula>NOT(ISERROR(SEARCH("rischio largamente accettabile",H26)))</formula>
    </cfRule>
  </conditionalFormatting>
  <conditionalFormatting sqref="H26:H29">
    <cfRule type="containsText" dxfId="114" priority="658" operator="containsText" text="rischio inaccettabile - abbattimento o controllo del rischio">
      <formula>NOT(ISERROR(SEARCH("rischio inaccettabile - abbattimento o controllo del rischio",H26)))</formula>
    </cfRule>
    <cfRule type="colorScale" priority="1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">
    <cfRule type="notContainsBlanks" dxfId="113" priority="640">
      <formula>LEN(TRIM(H34))&gt;0</formula>
    </cfRule>
  </conditionalFormatting>
  <conditionalFormatting sqref="H35">
    <cfRule type="cellIs" dxfId="112" priority="415" operator="equal">
      <formula>0</formula>
    </cfRule>
  </conditionalFormatting>
  <conditionalFormatting sqref="H35:H38">
    <cfRule type="cellIs" dxfId="111" priority="416" operator="equal">
      <formula>7</formula>
    </cfRule>
    <cfRule type="cellIs" dxfId="110" priority="417" operator="equal">
      <formula>2</formula>
    </cfRule>
    <cfRule type="cellIs" dxfId="109" priority="418" operator="equal">
      <formula>6</formula>
    </cfRule>
    <cfRule type="cellIs" dxfId="108" priority="419" operator="equal">
      <formula>5</formula>
    </cfRule>
    <cfRule type="cellIs" dxfId="107" priority="420" operator="equal">
      <formula>1</formula>
    </cfRule>
    <cfRule type="cellIs" dxfId="106" priority="422" operator="equal">
      <formula>3</formula>
    </cfRule>
    <cfRule type="cellIs" dxfId="105" priority="423" operator="equal">
      <formula>4</formula>
    </cfRule>
  </conditionalFormatting>
  <conditionalFormatting sqref="H53">
    <cfRule type="notContainsBlanks" dxfId="104" priority="186">
      <formula>LEN(TRIM(H53))&gt;0</formula>
    </cfRule>
  </conditionalFormatting>
  <conditionalFormatting sqref="H54:H57">
    <cfRule type="cellIs" dxfId="103" priority="166" operator="equal">
      <formula>0</formula>
    </cfRule>
    <cfRule type="cellIs" dxfId="102" priority="167" operator="equal">
      <formula>7</formula>
    </cfRule>
    <cfRule type="cellIs" dxfId="101" priority="168" operator="equal">
      <formula>2</formula>
    </cfRule>
    <cfRule type="cellIs" dxfId="100" priority="169" operator="equal">
      <formula>6</formula>
    </cfRule>
    <cfRule type="cellIs" dxfId="99" priority="170" operator="equal">
      <formula>5</formula>
    </cfRule>
    <cfRule type="cellIs" dxfId="98" priority="171" operator="equal">
      <formula>1</formula>
    </cfRule>
    <cfRule type="cellIs" dxfId="97" priority="173" operator="equal">
      <formula>3</formula>
    </cfRule>
    <cfRule type="cellIs" dxfId="96" priority="174" operator="equal">
      <formula>4</formula>
    </cfRule>
  </conditionalFormatting>
  <conditionalFormatting sqref="I35">
    <cfRule type="containsText" dxfId="95" priority="266" operator="containsText" text="rischio inaccettabile - abbattimento o eliminazione del rischio">
      <formula>NOT(ISERROR(SEARCH("rischio inaccettabile - abbattimento o eliminazione del rischio",I35)))</formula>
    </cfRule>
    <cfRule type="containsText" dxfId="94" priority="267" operator="containsText" text="rischio tollerabile per accordo ma inaccettabile se imposto a terzi">
      <formula>NOT(ISERROR(SEARCH("rischio tollerabile per accordo ma inaccettabile se imposto a terzi",I35)))</formula>
    </cfRule>
    <cfRule type="containsText" dxfId="93" priority="268" operator="containsText" text="rischio tollerabile se ALARP - valutare costi/benefici del controllo">
      <formula>NOT(ISERROR(SEARCH("rischio tollerabile se ALARP - valutare costi/benefici del controllo",I35)))</formula>
    </cfRule>
    <cfRule type="containsText" dxfId="92" priority="269" operator="containsText" text="rischio largamente accettabile">
      <formula>NOT(ISERROR(SEARCH("rischio largamente accettabile",I35)))</formula>
    </cfRule>
  </conditionalFormatting>
  <conditionalFormatting sqref="I35:I38">
    <cfRule type="containsText" dxfId="91" priority="616" operator="containsText" text="rischio tollerabile - individuare interventi affinché rimanga ALARP">
      <formula>NOT(ISERROR(SEARCH("rischio tollerabile - individuare interventi affinché rimanga ALARP",I35)))</formula>
    </cfRule>
    <cfRule type="containsText" dxfId="90" priority="617" operator="containsText" text="rischio tollerabile per accordo se il valore è molto elevato">
      <formula>NOT(ISERROR(SEARCH("rischio tollerabile per accordo se il valore è molto elevato",I35)))</formula>
    </cfRule>
  </conditionalFormatting>
  <conditionalFormatting sqref="I36:I38">
    <cfRule type="containsText" dxfId="89" priority="618" operator="containsText" text="rischio inaccettabile - abbattimento o eliminazione del rischio">
      <formula>NOT(ISERROR(SEARCH("rischio inaccettabile - abbattimento o eliminazione del rischio",I36)))</formula>
    </cfRule>
  </conditionalFormatting>
  <conditionalFormatting sqref="I54">
    <cfRule type="containsText" dxfId="88" priority="162" operator="containsText" text="rischio inaccettabile - abbattimento o eliminazione del rischio">
      <formula>NOT(ISERROR(SEARCH("rischio inaccettabile - abbattimento o eliminazione del rischio",I54)))</formula>
    </cfRule>
    <cfRule type="containsText" dxfId="87" priority="163" operator="containsText" text="rischio tollerabile per accordo ma inaccettabile se imposto a terzi">
      <formula>NOT(ISERROR(SEARCH("rischio tollerabile per accordo ma inaccettabile se imposto a terzi",I54)))</formula>
    </cfRule>
    <cfRule type="containsText" dxfId="86" priority="164" operator="containsText" text="rischio tollerabile se ALARP - valutare costi/benefici del controllo">
      <formula>NOT(ISERROR(SEARCH("rischio tollerabile se ALARP - valutare costi/benefici del controllo",I54)))</formula>
    </cfRule>
    <cfRule type="containsText" dxfId="85" priority="165" operator="containsText" text="rischio largamente accettabile">
      <formula>NOT(ISERROR(SEARCH("rischio largamente accettabile",I54)))</formula>
    </cfRule>
  </conditionalFormatting>
  <conditionalFormatting sqref="I54:I57">
    <cfRule type="containsText" dxfId="84" priority="177" operator="containsText" text="rischio tollerabile - individuare interventi affinché rimanga ALARP">
      <formula>NOT(ISERROR(SEARCH("rischio tollerabile - individuare interventi affinché rimanga ALARP",I54)))</formula>
    </cfRule>
    <cfRule type="containsText" dxfId="83" priority="178" operator="containsText" text="rischio tollerabile per accordo se il valore è molto elevato">
      <formula>NOT(ISERROR(SEARCH("rischio tollerabile per accordo se il valore è molto elevato",I54)))</formula>
    </cfRule>
  </conditionalFormatting>
  <conditionalFormatting sqref="I55:I57">
    <cfRule type="containsText" dxfId="82" priority="179" operator="containsText" text="rischio inaccettabile - abbattimento o eliminazione del rischio">
      <formula>NOT(ISERROR(SEARCH("rischio inaccettabile - abbattimento o eliminazione del rischio",I55)))</formula>
    </cfRule>
    <cfRule type="containsText" dxfId="81" priority="203" operator="containsText" text="rischio tollerabile per accordo ma inaccettabile se imposto a terzi">
      <formula>NOT(ISERROR(SEARCH("rischio tollerabile per accordo ma inaccettabile se imposto a terzi",I55)))</formula>
    </cfRule>
    <cfRule type="containsText" dxfId="80" priority="204" operator="containsText" text="rischio tollerabile se ALARP - valutare costi/benefici del controllo">
      <formula>NOT(ISERROR(SEARCH("rischio tollerabile se ALARP - valutare costi/benefici del controllo",I55)))</formula>
    </cfRule>
    <cfRule type="containsText" dxfId="79" priority="205" operator="containsText" text="rischio largamente accettabile">
      <formula>NOT(ISERROR(SEARCH("rischio largamente accettabile",I55)))</formula>
    </cfRule>
  </conditionalFormatting>
  <conditionalFormatting sqref="J42:J47">
    <cfRule type="cellIs" dxfId="78" priority="818" operator="equal">
      <formula>"IN ATTESA DI VERIFICA"</formula>
    </cfRule>
    <cfRule type="cellIs" dxfId="77" priority="819" operator="equal">
      <formula>"""IN ATTESA DI VERIFICA"""</formula>
    </cfRule>
    <cfRule type="cellIs" dxfId="76" priority="820" operator="equal">
      <formula>"non accettabile"</formula>
    </cfRule>
    <cfRule type="cellIs" dxfId="75" priority="821" operator="equal">
      <formula>"tollerabile"</formula>
    </cfRule>
    <cfRule type="cellIs" dxfId="74" priority="822" operator="equal">
      <formula>"non tollerabile se imposto a terzi"</formula>
    </cfRule>
    <cfRule type="cellIs" dxfId="73" priority="823" operator="equal">
      <formula>"largamente accettabile"</formula>
    </cfRule>
  </conditionalFormatting>
  <conditionalFormatting sqref="L33">
    <cfRule type="cellIs" dxfId="72" priority="1431" operator="equal">
      <formula>2</formula>
    </cfRule>
    <cfRule type="cellIs" dxfId="71" priority="1432" operator="equal">
      <formula>3</formula>
    </cfRule>
    <cfRule type="cellIs" dxfId="70" priority="1433" operator="equal">
      <formula>1</formula>
    </cfRule>
    <cfRule type="cellIs" dxfId="69" priority="1434" operator="equal">
      <formula>4</formula>
    </cfRule>
    <cfRule type="cellIs" dxfId="68" priority="1446" operator="between">
      <formula>1</formula>
      <formula>3</formula>
    </cfRule>
    <cfRule type="cellIs" dxfId="67" priority="1447" operator="equal">
      <formula>4</formula>
    </cfRule>
  </conditionalFormatting>
  <conditionalFormatting sqref="L52 T52">
    <cfRule type="cellIs" dxfId="66" priority="59" operator="equal">
      <formula>7</formula>
    </cfRule>
    <cfRule type="cellIs" dxfId="65" priority="63" operator="equal">
      <formula>1</formula>
    </cfRule>
  </conditionalFormatting>
  <conditionalFormatting sqref="L52">
    <cfRule type="cellIs" dxfId="64" priority="74" operator="equal">
      <formula>2</formula>
    </cfRule>
    <cfRule type="cellIs" dxfId="63" priority="75" operator="equal">
      <formula>3</formula>
    </cfRule>
    <cfRule type="cellIs" dxfId="62" priority="76" operator="equal">
      <formula>1</formula>
    </cfRule>
    <cfRule type="cellIs" dxfId="61" priority="77" operator="equal">
      <formula>4</formula>
    </cfRule>
    <cfRule type="cellIs" dxfId="60" priority="78" operator="between">
      <formula>1</formula>
      <formula>3</formula>
    </cfRule>
    <cfRule type="cellIs" dxfId="59" priority="79" operator="equal">
      <formula>4</formula>
    </cfRule>
  </conditionalFormatting>
  <conditionalFormatting sqref="L33:M33">
    <cfRule type="cellIs" dxfId="58" priority="81" operator="equal">
      <formula>2</formula>
    </cfRule>
    <cfRule type="cellIs" dxfId="57" priority="82" operator="equal">
      <formula>6</formula>
    </cfRule>
    <cfRule type="cellIs" dxfId="56" priority="83" operator="equal">
      <formula>5</formula>
    </cfRule>
    <cfRule type="cellIs" dxfId="55" priority="85" operator="equal">
      <formula>3</formula>
    </cfRule>
  </conditionalFormatting>
  <conditionalFormatting sqref="L52:M52">
    <cfRule type="cellIs" dxfId="54" priority="27" operator="equal">
      <formula>2</formula>
    </cfRule>
    <cfRule type="cellIs" dxfId="53" priority="28" operator="equal">
      <formula>6</formula>
    </cfRule>
    <cfRule type="cellIs" dxfId="52" priority="29" operator="equal">
      <formula>5</formula>
    </cfRule>
    <cfRule type="cellIs" dxfId="51" priority="31" operator="equal">
      <formula>3</formula>
    </cfRule>
  </conditionalFormatting>
  <conditionalFormatting sqref="M33">
    <cfRule type="cellIs" dxfId="50" priority="84" operator="equal">
      <formula>1</formula>
    </cfRule>
    <cfRule type="cellIs" dxfId="49" priority="86" operator="equal">
      <formula>4</formula>
    </cfRule>
  </conditionalFormatting>
  <conditionalFormatting sqref="M52">
    <cfRule type="cellIs" dxfId="48" priority="30" operator="equal">
      <formula>1</formula>
    </cfRule>
    <cfRule type="cellIs" dxfId="47" priority="32" operator="equal">
      <formula>4</formula>
    </cfRule>
  </conditionalFormatting>
  <conditionalFormatting sqref="O12 V13:V19 U15:U19 F15:F24 K15:K24 V21:V22 U21:U24">
    <cfRule type="cellIs" dxfId="46" priority="853" operator="equal">
      <formula>3</formula>
    </cfRule>
    <cfRule type="cellIs" dxfId="45" priority="854" operator="equal">
      <formula>2</formula>
    </cfRule>
    <cfRule type="cellIs" dxfId="44" priority="855" operator="equal">
      <formula>1</formula>
    </cfRule>
  </conditionalFormatting>
  <conditionalFormatting sqref="O42:O47">
    <cfRule type="cellIs" dxfId="43" priority="604" operator="equal">
      <formula>"IN ATTESA DI VERIFICA"</formula>
    </cfRule>
    <cfRule type="cellIs" dxfId="42" priority="605" operator="equal">
      <formula>"""IN ATTESA DI VERIFICA"""</formula>
    </cfRule>
    <cfRule type="cellIs" dxfId="41" priority="606" operator="equal">
      <formula>"non accettabile"</formula>
    </cfRule>
    <cfRule type="cellIs" dxfId="40" priority="607" operator="equal">
      <formula>"tollerabile"</formula>
    </cfRule>
    <cfRule type="cellIs" dxfId="39" priority="608" operator="equal">
      <formula>"non tollerabile se imposto a terzi"</formula>
    </cfRule>
    <cfRule type="cellIs" dxfId="38" priority="609" operator="equal">
      <formula>"largamente accettabile"</formula>
    </cfRule>
  </conditionalFormatting>
  <conditionalFormatting sqref="P15:P19">
    <cfRule type="cellIs" dxfId="37" priority="106" operator="equal">
      <formula>3</formula>
    </cfRule>
    <cfRule type="cellIs" dxfId="36" priority="107" operator="equal">
      <formula>2</formula>
    </cfRule>
    <cfRule type="cellIs" dxfId="35" priority="108" operator="equal">
      <formula>1</formula>
    </cfRule>
  </conditionalFormatting>
  <conditionalFormatting sqref="P21:P24">
    <cfRule type="cellIs" dxfId="34" priority="103" operator="equal">
      <formula>3</formula>
    </cfRule>
    <cfRule type="cellIs" dxfId="33" priority="104" operator="equal">
      <formula>2</formula>
    </cfRule>
    <cfRule type="cellIs" dxfId="32" priority="105" operator="equal">
      <formula>1</formula>
    </cfRule>
  </conditionalFormatting>
  <conditionalFormatting sqref="R32">
    <cfRule type="cellIs" dxfId="31" priority="87" operator="equal">
      <formula>7</formula>
    </cfRule>
    <cfRule type="cellIs" dxfId="30" priority="88" operator="equal">
      <formula>2</formula>
    </cfRule>
    <cfRule type="cellIs" dxfId="29" priority="89" operator="equal">
      <formula>6</formula>
    </cfRule>
    <cfRule type="cellIs" dxfId="28" priority="90" operator="equal">
      <formula>5</formula>
    </cfRule>
    <cfRule type="cellIs" dxfId="27" priority="91" operator="equal">
      <formula>1</formula>
    </cfRule>
    <cfRule type="cellIs" dxfId="26" priority="93" operator="equal">
      <formula>3</formula>
    </cfRule>
    <cfRule type="cellIs" dxfId="25" priority="94" operator="equal">
      <formula>4</formula>
    </cfRule>
  </conditionalFormatting>
  <conditionalFormatting sqref="R51">
    <cfRule type="cellIs" dxfId="24" priority="7" operator="equal">
      <formula>7</formula>
    </cfRule>
    <cfRule type="cellIs" dxfId="23" priority="8" operator="equal">
      <formula>2</formula>
    </cfRule>
    <cfRule type="cellIs" dxfId="22" priority="9" operator="equal">
      <formula>6</formula>
    </cfRule>
    <cfRule type="cellIs" dxfId="21" priority="10" operator="equal">
      <formula>5</formula>
    </cfRule>
    <cfRule type="cellIs" dxfId="20" priority="11" operator="equal">
      <formula>1</formula>
    </cfRule>
    <cfRule type="cellIs" dxfId="19" priority="13" operator="equal">
      <formula>3</formula>
    </cfRule>
    <cfRule type="cellIs" dxfId="18" priority="14" operator="equal">
      <formula>4</formula>
    </cfRule>
  </conditionalFormatting>
  <conditionalFormatting sqref="T33">
    <cfRule type="cellIs" dxfId="17" priority="1211" operator="equal">
      <formula>6</formula>
    </cfRule>
    <cfRule type="cellIs" dxfId="16" priority="1212" operator="equal">
      <formula>5</formula>
    </cfRule>
    <cfRule type="cellIs" dxfId="15" priority="1251" operator="equal">
      <formula>2</formula>
    </cfRule>
    <cfRule type="cellIs" dxfId="14" priority="1252" operator="equal">
      <formula>3</formula>
    </cfRule>
    <cfRule type="cellIs" dxfId="13" priority="1253" operator="equal">
      <formula>1</formula>
    </cfRule>
    <cfRule type="cellIs" dxfId="12" priority="1254" operator="equal">
      <formula>4</formula>
    </cfRule>
    <cfRule type="cellIs" dxfId="11" priority="1255" operator="between">
      <formula>1</formula>
      <formula>3</formula>
    </cfRule>
    <cfRule type="cellIs" dxfId="10" priority="1256" operator="equal">
      <formula>4</formula>
    </cfRule>
    <cfRule type="colorScale" priority="1257">
      <colorScale>
        <cfvo type="num" val="1"/>
        <cfvo type="num" val="5"/>
        <cfvo type="num" val="10"/>
        <color rgb="FF00B050"/>
        <color rgb="FFFFFF00"/>
        <color rgb="FFFF0000"/>
      </colorScale>
    </cfRule>
    <cfRule type="colorScale" priority="1258">
      <colorScale>
        <cfvo type="num" val="0"/>
        <cfvo type="num" val="5"/>
        <cfvo type="num" val="10"/>
        <color rgb="FFFF0000"/>
        <color rgb="FFFFFF00"/>
        <color rgb="FF00B050"/>
      </colorScale>
    </cfRule>
  </conditionalFormatting>
  <conditionalFormatting sqref="T52">
    <cfRule type="cellIs" dxfId="9" priority="60" operator="equal">
      <formula>2</formula>
    </cfRule>
    <cfRule type="cellIs" dxfId="8" priority="61" operator="equal">
      <formula>6</formula>
    </cfRule>
    <cfRule type="cellIs" dxfId="7" priority="62" operator="equal">
      <formula>5</formula>
    </cfRule>
    <cfRule type="cellIs" dxfId="6" priority="65" operator="equal">
      <formula>3</formula>
    </cfRule>
    <cfRule type="cellIs" dxfId="5" priority="66" operator="equal">
      <formula>2</formula>
    </cfRule>
    <cfRule type="cellIs" dxfId="4" priority="67" operator="equal">
      <formula>3</formula>
    </cfRule>
    <cfRule type="cellIs" dxfId="3" priority="68" operator="equal">
      <formula>1</formula>
    </cfRule>
    <cfRule type="cellIs" dxfId="2" priority="69" operator="equal">
      <formula>4</formula>
    </cfRule>
    <cfRule type="cellIs" dxfId="1" priority="70" operator="between">
      <formula>1</formula>
      <formula>3</formula>
    </cfRule>
    <cfRule type="cellIs" dxfId="0" priority="71" operator="equal">
      <formula>4</formula>
    </cfRule>
    <cfRule type="colorScale" priority="72">
      <colorScale>
        <cfvo type="num" val="1"/>
        <cfvo type="num" val="5"/>
        <cfvo type="num" val="10"/>
        <color rgb="FF00B050"/>
        <color rgb="FFFFFF00"/>
        <color rgb="FFFF0000"/>
      </colorScale>
    </cfRule>
    <cfRule type="colorScale" priority="73">
      <colorScale>
        <cfvo type="num" val="0"/>
        <cfvo type="num" val="5"/>
        <cfvo type="num" val="10"/>
        <color rgb="FFFF0000"/>
        <color rgb="FFFFFF00"/>
        <color rgb="FF00B050"/>
      </colorScale>
    </cfRule>
  </conditionalFormatting>
  <dataValidations count="12">
    <dataValidation operator="lessThan" allowBlank="1" showInputMessage="1" showErrorMessage="1" sqref="E35:E38 H34:H38 H53:H57" xr:uid="{41B470D9-995F-419F-AA8B-B0AFC92278CA}"/>
    <dataValidation type="list" allowBlank="1" showInputMessage="1" sqref="L15:O19" xr:uid="{9A026B4B-7D78-4196-B387-12270CD4C198}">
      <formula1>$AE$2:$AE$70</formula1>
    </dataValidation>
    <dataValidation type="list" allowBlank="1" showInputMessage="1" sqref="L21:O24" xr:uid="{79E39794-1F06-4EFC-81BE-1DDDBD307A14}">
      <formula1>$AG$2:$AG$64</formula1>
    </dataValidation>
    <dataValidation type="list" allowBlank="1" showInputMessage="1" sqref="Q15:T19" xr:uid="{5173D128-946A-45F1-A2F5-54661D292A79}">
      <formula1>$AI$2:$AI$75</formula1>
    </dataValidation>
    <dataValidation type="list" allowBlank="1" showInputMessage="1" sqref="H15:J19 H21:J24 G15:G24" xr:uid="{6646B679-9E56-4D4C-8127-12138427150D}">
      <formula1>$AC$2:$AC$62</formula1>
    </dataValidation>
    <dataValidation type="list" allowBlank="1" showInputMessage="1" showErrorMessage="1" sqref="F15:F24 K15:K24 P15:P19 U15:U19 U21:U24 P21:P24" xr:uid="{3DB93EA6-1870-4A02-99B4-3EF781043CD1}">
      <formula1>$Y$5:$Y$8</formula1>
    </dataValidation>
    <dataValidation type="list" allowBlank="1" showInputMessage="1" sqref="C15:E19 C21:E24 B15:B24" xr:uid="{DFEB9BA7-B280-46E5-AD97-29F929948D07}">
      <formula1>$AA$2:$AA$45</formula1>
    </dataValidation>
    <dataValidation type="list" allowBlank="1" showInputMessage="1" showErrorMessage="1" sqref="M33:Q33" xr:uid="{45DB03C9-1E7C-43ED-AD93-9DDFACDFABAC}">
      <formula1>$BQ$9:$BQ$15</formula1>
    </dataValidation>
    <dataValidation type="list" allowBlank="1" showInputMessage="1" showErrorMessage="1" sqref="B33:F33" xr:uid="{5284E538-9043-4A40-A3A7-1EB2E05AE04E}">
      <formula1>$BQ$22:$BQ$28</formula1>
    </dataValidation>
    <dataValidation type="list" allowBlank="1" showInputMessage="1" showErrorMessage="1" sqref="B52:F52" xr:uid="{A5D16FA3-5AB0-45D5-9AB3-2ADF4A9FFE31}">
      <formula1>$BQ$80:$BQ$86</formula1>
    </dataValidation>
    <dataValidation type="list" allowBlank="1" showInputMessage="1" showErrorMessage="1" sqref="M52:Q52" xr:uid="{1BAA1107-0FE7-465D-BAB8-52E2C4C4A856}">
      <formula1>$BQ$93:$BQ$99</formula1>
    </dataValidation>
    <dataValidation type="list" allowBlank="1" showInputMessage="1" sqref="Q21:T24" xr:uid="{CBABD636-4E62-433A-98A3-2CA2864CD897}">
      <formula1>$AK$2:$AK$37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80" orientation="portrait" r:id="rId1"/>
  <ignoredErrors>
    <ignoredError sqref="H5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1322E210-5154-4E8E-A114-AAA2231D9D3C}">
          <x14:formula1>
            <xm:f>A!$V$4:$V$27</xm:f>
          </x14:formula1>
          <xm:sqref>C7:D7</xm:sqref>
        </x14:dataValidation>
        <x14:dataValidation type="list" allowBlank="1" showInputMessage="1" showErrorMessage="1" xr:uid="{744BD163-5780-48CD-B651-485DA998F2BE}">
          <x14:formula1>
            <xm:f>A!$AE$4:$AE$9</xm:f>
          </x14:formula1>
          <xm:sqref>S7:U7</xm:sqref>
        </x14:dataValidation>
        <x14:dataValidation type="list" allowBlank="1" showInputMessage="1" showErrorMessage="1" xr:uid="{624F594E-F473-4ED9-BDF8-598D14C8C06A}">
          <x14:formula1>
            <xm:f>A!$AI$4:$AI$110</xm:f>
          </x14:formula1>
          <xm:sqref>C8</xm:sqref>
        </x14:dataValidation>
        <x14:dataValidation type="list" allowBlank="1" showInputMessage="1" showErrorMessage="1" xr:uid="{7F7DF554-5188-491D-A5B9-26B43DF67C5F}">
          <x14:formula1>
            <xm:f>A!$AB$4:$AB$11</xm:f>
          </x14:formula1>
          <xm:sqref>G7:H7</xm:sqref>
        </x14:dataValidation>
        <x14:dataValidation type="list" allowBlank="1" showInputMessage="1" showErrorMessage="1" xr:uid="{E41F0FD4-5293-4B86-A50F-ACDE79E3B889}">
          <x14:formula1>
            <xm:f>A!$S$4:$S$10</xm:f>
          </x14:formula1>
          <xm:sqref>N7:Q7</xm:sqref>
        </x14:dataValidation>
        <x14:dataValidation type="list" allowBlank="1" showInputMessage="1" showErrorMessage="1" xr:uid="{13253015-5B02-4A8A-86B1-14C71511C343}">
          <x14:formula1>
            <xm:f>A!$AE$12:$AE$16</xm:f>
          </x14:formula1>
          <xm:sqref>S8:U8</xm:sqref>
        </x14:dataValidation>
        <x14:dataValidation type="list" allowBlank="1" showInputMessage="1" showErrorMessage="1" xr:uid="{85BAE953-3AE4-4F31-8921-6A2EC4526584}">
          <x14:formula1>
            <xm:f>A!$AU$35:$AU$45</xm:f>
          </x14:formula1>
          <xm:sqref>E12:N13</xm:sqref>
        </x14:dataValidation>
        <x14:dataValidation type="list" allowBlank="1" showInputMessage="1" showErrorMessage="1" xr:uid="{11F6AB7C-ECE3-459C-AC05-E9F3A07087E1}">
          <x14:formula1>
            <xm:f>A!$BG$4:$BG$11</xm:f>
          </x14:formula1>
          <xm:sqref>C32 N32 C51 N51</xm:sqref>
        </x14:dataValidation>
        <x14:dataValidation type="list" allowBlank="1" showInputMessage="1" xr:uid="{B366F81A-8E67-4BEF-BAE1-239B38A62FF5}">
          <x14:formula1>
            <xm:f>A!$G$19:$G$32</xm:f>
          </x14:formula1>
          <xm:sqref>L42:N43 L44:L45</xm:sqref>
        </x14:dataValidation>
        <x14:dataValidation type="list" operator="lessThan" allowBlank="1" showInputMessage="1" showErrorMessage="1" xr:uid="{D2854602-B1F1-4F24-BDA2-D306D3C62C54}">
          <x14:formula1>
            <xm:f>A!$B$4:$B$10</xm:f>
          </x14:formula1>
          <xm:sqref>E54:G57</xm:sqref>
        </x14:dataValidation>
        <x14:dataValidation type="list" allowBlank="1" showInputMessage="1" showErrorMessage="1" xr:uid="{67B58EB2-8560-4147-8E0B-7042884FA2E4}">
          <x14:formula1>
            <xm:f>A!$B$4:$B$14</xm:f>
          </x14:formula1>
          <xm:sqref>E26:E29</xm:sqref>
        </x14:dataValidation>
        <x14:dataValidation type="list" allowBlank="1" showInputMessage="1" xr:uid="{A7FC62F5-3E16-4D74-AAC9-D08622E0AB4E}">
          <x14:formula1>
            <xm:f>A!$E$4:$E$15</xm:f>
          </x14:formula1>
          <xm:sqref>T42:U45</xm:sqref>
        </x14:dataValidation>
        <x14:dataValidation type="list" allowBlank="1" showInputMessage="1" xr:uid="{3F1B4126-7A31-48A3-90D9-22E5C9EA3B08}">
          <x14:formula1>
            <xm:f>A!$G$4:$G$15</xm:f>
          </x14:formula1>
          <xm:sqref>O42:P45 J42:K45</xm:sqref>
        </x14:dataValidation>
        <x14:dataValidation type="list" allowBlank="1" showInputMessage="1" xr:uid="{BFBE4863-C9C5-450F-A611-D47A59BD39C7}">
          <x14:formula1>
            <xm:f>A!$E$18:$E$34</xm:f>
          </x14:formula1>
          <xm:sqref>Q42:S45</xm:sqref>
        </x14:dataValidation>
        <x14:dataValidation type="list" allowBlank="1" showInputMessage="1" xr:uid="{17D5C3F7-BA4D-408B-80EE-E695AE1DFAF1}">
          <x14:formula1>
            <xm:f>A!$C$27:$C$74</xm:f>
          </x14:formula1>
          <xm:sqref>B42:I45</xm:sqref>
        </x14:dataValidation>
        <x14:dataValidation type="list" allowBlank="1" showInputMessage="1" showErrorMessage="1" xr:uid="{A134AD2A-E53D-4F8E-8E9A-C05F48C66DD1}">
          <x14:formula1>
            <xm:f>A!$Y$4:$Y$12</xm:f>
          </x14:formula1>
          <xm:sqref>J7:L7</xm:sqref>
        </x14:dataValidation>
        <x14:dataValidation type="list" allowBlank="1" showInputMessage="1" showErrorMessage="1" xr:uid="{70706448-9506-4DF6-B90F-0A3B3D85E52E}">
          <x14:formula1>
            <xm:f>A!$I$4:$I$26</xm:f>
          </x14:formula1>
          <xm:sqref>L8:P8</xm:sqref>
        </x14:dataValidation>
        <x14:dataValidation type="list" allowBlank="1" showInputMessage="1" showErrorMessage="1" xr:uid="{6BEDEE8F-119B-4A00-B14F-07D5F07EDA87}">
          <x14:formula1>
            <xm:f>A!$K$5:$K$167</xm:f>
          </x14:formula1>
          <xm:sqref>I6</xm:sqref>
        </x14:dataValidation>
        <x14:dataValidation type="list" allowBlank="1" showInputMessage="1" showErrorMessage="1" xr:uid="{4F9B6386-49D6-489D-9206-331725A7F791}">
          <x14:formula1>
            <xm:f>A!$K$4:$K$250</xm:f>
          </x14:formula1>
          <xm:sqref>J6:Q6</xm:sqref>
        </x14:dataValidation>
        <x14:dataValidation type="list" allowBlank="1" showInputMessage="1" xr:uid="{DBE47E42-0799-4CEC-8D43-B5F7C2ADAA7D}">
          <x14:formula1>
            <xm:f>A!$P$4:$P$18</xm:f>
          </x14:formula1>
          <xm:sqref>R12:U12</xm:sqref>
        </x14:dataValidation>
        <x14:dataValidation type="list" allowBlank="1" showInputMessage="1" xr:uid="{559F65F0-9CC4-4D49-B07A-F651157636CE}">
          <x14:formula1>
            <xm:f>A!$N$4:$N$56</xm:f>
          </x14:formula1>
          <xm:sqref>R13:U13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3</vt:i4>
      </vt:variant>
    </vt:vector>
  </HeadingPairs>
  <TitlesOfParts>
    <vt:vector size="7" baseType="lpstr">
      <vt:lpstr>A</vt:lpstr>
      <vt:lpstr>TRG-P</vt:lpstr>
      <vt:lpstr>TRG-S</vt:lpstr>
      <vt:lpstr>ORD</vt:lpstr>
      <vt:lpstr>ORD!Area_stampa</vt:lpstr>
      <vt:lpstr>'TRG-P'!Area_stampa</vt:lpstr>
      <vt:lpstr>'TRG-S'!Area_stampa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Gifor</dc:creator>
  <cp:lastModifiedBy>Michele Rismondo</cp:lastModifiedBy>
  <cp:lastPrinted>2023-11-18T11:25:20Z</cp:lastPrinted>
  <dcterms:created xsi:type="dcterms:W3CDTF">2018-12-23T11:36:33Z</dcterms:created>
  <dcterms:modified xsi:type="dcterms:W3CDTF">2025-09-30T17:54:25Z</dcterms:modified>
  <cp:contentStatus/>
</cp:coreProperties>
</file>